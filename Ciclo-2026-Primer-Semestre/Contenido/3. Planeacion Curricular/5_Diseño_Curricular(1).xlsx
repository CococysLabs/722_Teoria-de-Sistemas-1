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hidden"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<sst xmlns="http://schemas.openxmlformats.org/spreadsheetml/2006/main" count="1623" uniqueCount="474">
  <si>
    <t xml:space="preserve">Resumen de Ponderacion y Horas </t>
  </si>
  <si>
    <t>Curso</t>
  </si>
  <si>
    <t>722 - Teoría de Sistemas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</si>
  <si>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</si>
  <si>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</si>
  <si>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</si>
  <si>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</si>
  <si>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</si>
  <si>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</si>
  <si>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</si>
  <si>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</si>
  <si>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</si>
  <si>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</si>
  <si>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</si>
  <si>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</si>
  <si>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</si>
  <si>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</si>
  <si>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</si>
  <si>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</si>
  <si>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</si>
  <si>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</si>
  <si>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</si>
  <si>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</si>
  <si>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</si>
  <si>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</si>
  <si>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</si>
  <si>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</si>
  <si>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No</t>
  </si>
  <si>
    <t>Tipo</t>
  </si>
  <si>
    <t>Verbo en Presente</t>
  </si>
  <si>
    <t>Objeto de la acción</t>
  </si>
  <si>
    <t>[Palabras conectoreas] Herramientas o metodología</t>
  </si>
  <si>
    <t>[Palabras conectoreas] Condiciones específicas</t>
  </si>
  <si>
    <t>Nivel</t>
  </si>
  <si>
    <t>Especifica</t>
  </si>
  <si>
    <t>Analiza ..</t>
  </si>
  <si>
    <t xml:space="preserve">los principios  basicos de la teoría de sistemas y su importancia en la vida	</t>
  </si>
  <si>
    <t>mediante modelos sistémicos y recursos gráficos</t>
  </si>
  <si>
    <t xml:space="preserve">para analizar el funcionamiento, la estructura y las interacciones de los sistemas en distintos entornos tecnológicos	</t>
  </si>
  <si>
    <t>Analizar</t>
  </si>
  <si>
    <t>Refina</t>
  </si>
  <si>
    <t>un problema de ingeniería o un sistema complejo</t>
  </si>
  <si>
    <t>mediante el uso de Diagramas de Ciclos Causales, Mapas DSRP y metodologías de modelación sistémica</t>
  </si>
  <si>
    <t>para identificar relaciones causales, retroalimentaciones y estructuras subyacentes que permitan mejorar su comprensión y gestión.</t>
  </si>
  <si>
    <t>Comprender</t>
  </si>
  <si>
    <t>emplea</t>
  </si>
  <si>
    <t>los principios básicos de la teoría general de sistemas y del enfoque sistémico</t>
  </si>
  <si>
    <t>el desarrollo de simulaciones dinámicas y la práctica constante de hábitos de pensamiento sistémico</t>
  </si>
  <si>
    <t>para formular soluciones a problemas de baja y media complejidad</t>
  </si>
  <si>
    <t>Aplicar</t>
  </si>
  <si>
    <t>comprende</t>
  </si>
  <si>
    <t>los fundamentos conceptuales del pensamiento sistémico y la naturaleza de los sistemas de la realidad</t>
  </si>
  <si>
    <t>a través del estudio de teorías, modelos mentales y estructuras de retroalimentación</t>
  </si>
  <si>
    <t>para distinguir los sistemas naturales, físicos diseñados, abstractos diseñados y de actividad humana</t>
  </si>
  <si>
    <t>identifica</t>
  </si>
  <si>
    <t>los conceptos fundamentales de la teoría de sistemas y del pensamiento sistémico</t>
  </si>
  <si>
    <t>mediante la revisión de definiciones</t>
  </si>
  <si>
    <t>para reconocer los elementos esenciales en el análisis y modelación de sistemas</t>
  </si>
  <si>
    <t>Recordar</t>
  </si>
  <si>
    <t>Diseña</t>
  </si>
  <si>
    <t>un controlador (ej. PID) o una estrategia de intervención sistémica</t>
  </si>
  <si>
    <t>para articular las herramientas de modelado y simulación</t>
  </si>
  <si>
    <t>para combinar las herramientas de modelado y simulación</t>
  </si>
  <si>
    <t>Crear</t>
  </si>
  <si>
    <t>desarrolla</t>
  </si>
  <si>
    <t>pensamiento sistémico y la construcción de modelos mentales sistémicos</t>
  </si>
  <si>
    <t>con el fin de comprender, representar</t>
  </si>
  <si>
    <t>para comprender sistemas complejos en entornos dinámicos y multidisciplinarios</t>
  </si>
  <si>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</si>
  <si>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</si>
  <si>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</si>
  <si>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</si>
  <si>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</si>
  <si>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</si>
  <si>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</si>
  <si>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</si>
  <si>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</si>
  <si>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</si>
  <si>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identifica los conceptos fundamentales de la teoría de sistemas y del pensamiento sistémico mediante la revisión de definiciones para reconocer los elementos esenciales en el análisis y modelación de sistemas </t>
  </si>
  <si>
    <t>Unidad 1: Introducción al pensamiento sistémico</t>
  </si>
  <si>
    <t>Los modelos mentales o sistemas abstractos diseñados</t>
  </si>
  <si>
    <t>Pensar en sistemas o pensar de otras maneras</t>
  </si>
  <si>
    <t>JULIO</t>
  </si>
  <si>
    <t>La realidad interpretada por el pensamiento</t>
  </si>
  <si>
    <t>La dinámica de los modelos mentales</t>
  </si>
  <si>
    <t>La escalera de inferencias</t>
  </si>
  <si>
    <t>Modelos mentales sistémicos</t>
  </si>
  <si>
    <t>Comparación de sistemas abstractos</t>
  </si>
  <si>
    <t>Operaciones mentales básicas</t>
  </si>
  <si>
    <t>Unidad 2: Los sistemas abstractos diseñados</t>
  </si>
  <si>
    <t>Operaciones mentales sistémicas</t>
  </si>
  <si>
    <t>Operaciones mentales básicas del pensamiento sistémico</t>
  </si>
  <si>
    <t>El pensamiento sistémico como emergente</t>
  </si>
  <si>
    <t>Hábitos relacionados con los sistemas abstractos</t>
  </si>
  <si>
    <t>El pensamiento adaptativo complejo</t>
  </si>
  <si>
    <t>La perspectiva en sistemas abstractos</t>
  </si>
  <si>
    <t>Comparación entre sistemas diseñados</t>
  </si>
  <si>
    <t>Ejemplos de sistemas mentales</t>
  </si>
  <si>
    <t xml:space="preserve">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t>
  </si>
  <si>
    <t>Compartir modelos mentales</t>
  </si>
  <si>
    <t>Sistemas abstractos diseñados compartidos (paradigmas)</t>
  </si>
  <si>
    <t>Paradigmas en contextos específicos</t>
  </si>
  <si>
    <t>Comparación con otros paradigmas</t>
  </si>
  <si>
    <t>Ejemplos de paradigmas compartidos</t>
  </si>
  <si>
    <t>Impacto en toma de decisiones</t>
  </si>
  <si>
    <t>Evolución de paradigmas</t>
  </si>
  <si>
    <t>Cambios en modelos mentales compartidos</t>
  </si>
  <si>
    <t>Perspectiva de sistemas abstractos diseñados</t>
  </si>
  <si>
    <t>Las perspectivas y los sistemas abstractos</t>
  </si>
  <si>
    <t>Impacto de las perspectivas en decisiones</t>
  </si>
  <si>
    <t>Operaciones mentales avanzadas en pensamiento sistémico</t>
  </si>
  <si>
    <t>Interrelaciones entre modelos mentales</t>
  </si>
  <si>
    <t>Ejemplos de pensamiento circular</t>
  </si>
  <si>
    <t>Ejemplos de retroalimentación</t>
  </si>
  <si>
    <t>Conclusión de los modelos mentales diseñados</t>
  </si>
  <si>
    <t>Unidad 3: Desarrollando el pensamiento sistémico complejo</t>
  </si>
  <si>
    <t>Fundamentos del pensamiento sistémico</t>
  </si>
  <si>
    <t>Concepto de sistema</t>
  </si>
  <si>
    <t>Estructura de los sistemas</t>
  </si>
  <si>
    <t>AGOSTO</t>
  </si>
  <si>
    <t>Subsistemas y suprasistemas</t>
  </si>
  <si>
    <t>Sinergia y emergencia en sistemas</t>
  </si>
  <si>
    <t>Complejidad sistémica</t>
  </si>
  <si>
    <t>El universo como conjunto de sistemas</t>
  </si>
  <si>
    <t>Ejemplos de sistemas naturales</t>
  </si>
  <si>
    <t xml:space="preserve">Analiza .. los principios  basicos de la teoría de sistemas y su importancia en la vida	 mediante modelos sistémicos y recursos gráficos para analizar el funcionamiento, la estructura y las interacciones de los sistemas en distintos entornos tecnológicos	 </t>
  </si>
  <si>
    <t>Clasificación de sistemas</t>
  </si>
  <si>
    <t>Sistemas físicos diseñados</t>
  </si>
  <si>
    <t>Sistemas abstractos diseñados</t>
  </si>
  <si>
    <t>Sistemas de actividad humana</t>
  </si>
  <si>
    <t>Diferencias entre sistemas naturales y diseñados</t>
  </si>
  <si>
    <t>Sistemas complejos adaptativos</t>
  </si>
  <si>
    <t>Características de sistemas de actividad humana</t>
  </si>
  <si>
    <t>Ejemplos de interacciones entre sistemas</t>
  </si>
  <si>
    <t>Niveles de perspectiva</t>
  </si>
  <si>
    <t>Modelo del iceberg</t>
  </si>
  <si>
    <t>Interpretación de niveles de percepción</t>
  </si>
  <si>
    <t>Impacto de la percepción en el pensamiento sistémico</t>
  </si>
  <si>
    <t>Ejemplos de interpretación de sistemas</t>
  </si>
  <si>
    <t>Cambio de perspectiva en análisis sistémico</t>
  </si>
  <si>
    <t>Impacto del cambio de nivel de percepción</t>
  </si>
  <si>
    <t>Ejemplos de interacción entre niveles de perspectiva</t>
  </si>
  <si>
    <t>Hábitos de un pensador sistémico</t>
  </si>
  <si>
    <t>Introducción a los hábitos de un pensador sistémico</t>
  </si>
  <si>
    <t>Ejemplos de hábitos de pensamiento sistémico</t>
  </si>
  <si>
    <t>Aplicación de hábitos en la vida diaria</t>
  </si>
  <si>
    <t>Relación entre hábitos y toma de decisiones</t>
  </si>
  <si>
    <t>Mejora de habilidades de pensamiento sistémico</t>
  </si>
  <si>
    <t>Desarrollo de la perspectiva a largo plazo</t>
  </si>
  <si>
    <t>Casos de estudio</t>
  </si>
  <si>
    <t>Unidad 4: Modelación y simulación dinámica de sistemas</t>
  </si>
  <si>
    <t>Modelación de sistemas con mapas sistémicos</t>
  </si>
  <si>
    <t>Introducción a los mapas sistémicos</t>
  </si>
  <si>
    <t>Mapas DSRP</t>
  </si>
  <si>
    <t>Diagramas de causa y efecto</t>
  </si>
  <si>
    <t>SEPTIEMBRE</t>
  </si>
  <si>
    <t>Interdependencias sistémicas</t>
  </si>
  <si>
    <t>Comportamientos circulares en sistemas</t>
  </si>
  <si>
    <t>Ejemplos de interdependencias sistémicas</t>
  </si>
  <si>
    <t>Introducción a la retroalimentación</t>
  </si>
  <si>
    <t>Estructuras circulares de retroalimentación</t>
  </si>
  <si>
    <t>Retroalimentación de compensación y refuerzo</t>
  </si>
  <si>
    <t>Ejemplos de retroalimentación en sistemas</t>
  </si>
  <si>
    <t>Impacto de la retroalimentación en el comportamiento de sistemas</t>
  </si>
  <si>
    <t>Retroalimentación y toma de decisiones</t>
  </si>
  <si>
    <t xml:space="preserve">Acumulaciones y tasas de cambio </t>
  </si>
  <si>
    <t>Diagramas de ciclos causales a flujos y niveles</t>
  </si>
  <si>
    <t>Ejemplos de ciclos causales</t>
  </si>
  <si>
    <t>Simulación con VENSIM</t>
  </si>
  <si>
    <t>Introducción a VENSIM</t>
  </si>
  <si>
    <t xml:space="preserve">emplea los principios básicos de la teoría general de sistemas y del enfoque sistémico el desarrollo de simulaciones dinámicas y la práctica constante de hábitos de pensamiento sistémico para formular soluciones a problemas de baja y media complejidad </t>
  </si>
  <si>
    <t>Ejemplos de simulaciones en VENSIM</t>
  </si>
  <si>
    <t>Análisis de resultados de simulaciones</t>
  </si>
  <si>
    <t>Simulación de sistemas complejos</t>
  </si>
  <si>
    <t>Impacto de los cambios en variables</t>
  </si>
  <si>
    <t>Integración de VENSIM en la toma de decisiones</t>
  </si>
  <si>
    <t>Ejemplos prácticos con simulaciones</t>
  </si>
  <si>
    <t>Unidad 5: Toma de decisiones sistémicas</t>
  </si>
  <si>
    <t>Patrones y tendencias en sistemas</t>
  </si>
  <si>
    <t>Identificación de patrones sistémicos</t>
  </si>
  <si>
    <t>Ejemplos de patrones y tendencias en sistemas</t>
  </si>
  <si>
    <t>Predicción de comportamientos en sistemas</t>
  </si>
  <si>
    <t>Impacto de patrones en toma de decisiones</t>
  </si>
  <si>
    <t>Ejemplos de arquetipos sistémicos comunes</t>
  </si>
  <si>
    <t>Arquetipos y resolución de problemas sistémicos</t>
  </si>
  <si>
    <t>OCTUBRE</t>
  </si>
  <si>
    <t>Toma de decisiones sistémicas</t>
  </si>
  <si>
    <t>Uso de VENSIM para la toma de decisiones</t>
  </si>
  <si>
    <t>Desarrollo de estrategias de toma de decisiones</t>
  </si>
  <si>
    <t>Análisis de ejemplos reales</t>
  </si>
  <si>
    <t>Hábitos para análisis de información sistémica</t>
  </si>
  <si>
    <t>Resolución de problemas con enfoque sistémico</t>
  </si>
  <si>
    <t>Impacto de la retroalimentación en decisiones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</si>
  <si>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</si>
  <si>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</si>
  <si>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</si>
  <si>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</si>
  <si>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</si>
  <si>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</si>
  <si>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Presentar mi nombre, edad, breve explicacion de mi carrera de sistemas actualmente en el noveno semestre</t>
  </si>
  <si>
    <t xml:space="preserve">Experiencia docente y profecional </t>
  </si>
  <si>
    <t>contar experiencia laboral como desarollador backend</t>
  </si>
  <si>
    <t>Rol del auxiliar dentro del curso (funciones, actividades y apoyo a los estudiantes).</t>
  </si>
  <si>
    <t>Indicar apoyo al estudiante por medio de los foros de classroom</t>
  </si>
  <si>
    <t>Expectativas sobre la dinámica del curso</t>
  </si>
  <si>
    <t>Participación activa, Pensamiento Crítico y enfoque en apoyo al estudiante</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</si>
  <si>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</si>
  <si>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</si>
  <si>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</si>
  <si>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</si>
  <si>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</si>
  <si>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conceptos basicos sobre teoria de sistemas y pensamiento sistémico</t>
  </si>
  <si>
    <t>Redactaras una parte practica para realizar la evaluacion de conocimientos previos</t>
  </si>
  <si>
    <t>Pedir a los estudiantes (ejercicio rápido en el chat/pizarra) que tomen un proceso simple de la vida real (ej. ir al banco, hacer café) y que: 1. Diseñen un Diagrama de Flujo simple que muestre la secuencia de pasos, decisiones y terminación. 2. Identifiquen 3 variables que cambiarían el resultado del proceso (ej. falta de insumos, estado de ánimo).</t>
  </si>
  <si>
    <t xml:space="preserve">3. Presentación de los Estudiantes                                </t>
  </si>
  <si>
    <t xml:space="preserve">No puedes excederte mas de 30 minutos </t>
  </si>
  <si>
    <t>Seleccion al Azar de 5 Estudiantes</t>
  </si>
  <si>
    <t>Utilizaré un generador de números al azar basado en el número de lista de asistencia (ej. un spinner wheel online).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</si>
  <si>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</si>
  <si>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</si>
  <si>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 xml:space="preserve">1. Dime tu nombre completo y tu área de interés principal en ingeniería. 2. ¿Qué es lo que más te emociona/esperas aprender en este curso (Pensamiento Sistémico, Modelos Mentales, VENSIM, etc.)? 3. ¿Tienes experiencia previa relacionada con análisis de sistemas o modelado (aunque sea conceptual)?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</si>
  <si>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</si>
  <si>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</si>
  <si>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</si>
  <si>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</si>
  <si>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</si>
  <si>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</si>
  <si>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Sabados a partir de 10 AM</t>
  </si>
  <si>
    <t xml:space="preserve">5.  Mostrar Programa del Curso                 </t>
  </si>
  <si>
    <t>No puedes excederte mas de 30 minutos</t>
  </si>
  <si>
    <t xml:space="preserve">6. Evaluación de Conocimientos del Curso Actual                                  </t>
  </si>
  <si>
    <t xml:space="preserve">Redactaras 20 preguntas con sus respectivas respuestas </t>
  </si>
  <si>
    <t>Preguntas y Respuestas (20 preguntas, 15 min): (Ejemplos que miden interés y expectativa sobre el contenido que acabas de presentar y que verán) 1. ¿Qué es la Escalera de Inferencias? (R: Proceso mental que lleva de datos a creencias/acciones). 2. Mencione una Operación Mental Sistémica. (R: Distinción, Relación, Perspectiva, Organización). 3. ¿Cuál es el objetivo principal del Modelo del Iceberg? (R: Buscar causas estructurales, no solo eventos). 4. ¿Qué representan las flechas en un Diagrama de Ciclos Causales (DCC)? (R: Relaciones de causalidad). 5. Defina Retroalimentación de Refuerzo (R). (R: Mecanismo que amplifica el cambio o causa crecimiento/declive exponencial). 6. Mencione el software que usaremos para simulación dinámica. (R: VENSIM). 7. ¿Qué es un Arquetipo Sistémico? (R: Estructura de DCC recurrente que causa problemas comunes). 8. ¿Cuál es la diferencia entre un Bucle R y uno C en la dinámica? (R: R genera crecimiento/declive; C genera equilibrio/estabilidad). 9. ¿Qué significa Alto Apalancamiento en intervención? (R: Un pequeño cambio estructural que genera gran impacto en el sistema). 10. ¿En qué unidad se enfoca el curso en la Toma de Decisiones Estratégicas? (R: Unidad 5).</t>
  </si>
  <si>
    <t>Diseño de la Sesión de Laboratorio</t>
  </si>
  <si>
    <t>Ponderación</t>
  </si>
  <si>
    <t>Validación de Tiempo</t>
  </si>
  <si>
    <t>1. Área Actitudinal (Saber Ser)</t>
  </si>
  <si>
    <t>Tiene que estar en un rango de 3 a 5 minutos</t>
  </si>
  <si>
    <t>Nombre del Valor</t>
  </si>
  <si>
    <t>Apertura mental</t>
  </si>
  <si>
    <t>Descripcion</t>
  </si>
  <si>
    <t>Disposición a cuestionar las propias suposiciones y reconocer que la "realidad" es subjetivamente interpretada por filtros mentales.</t>
  </si>
  <si>
    <t>Como se relaciona con los conocimientos de la sesion y se aplicaria</t>
  </si>
  <si>
    <t>La sesión se centra en la Escalera de Inferencias. Aplicar la Apertura Mental permite al estudiante identificar sus propios juicios y sesgos, mejorando la calidad de su análisis antes de formular modelos.</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</si>
  <si>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</si>
  <si>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</si>
  <si>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</si>
  <si>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</si>
  <si>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</si>
  <si>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</si>
  <si>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</si>
  <si>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</si>
  <si>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</si>
  <si>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</si>
  <si>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</si>
  <si>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</si>
  <si>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</si>
  <si>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</si>
  <si>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</si>
  <si>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</si>
  <si>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</si>
  <si>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</si>
  <si>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</si>
  <si>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</si>
  <si>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</si>
  <si>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 xml:space="preserve">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t>
  </si>
  <si>
    <t>Analisis</t>
  </si>
  <si>
    <t>Coloca el tiempo que usar en la actividad, un tiempo sugerido 30 minutos</t>
  </si>
  <si>
    <t>Descripcion de la Actividad</t>
  </si>
  <si>
    <t xml:space="preserve">Los estudiantes trabajan en parejas con un caso ambiguo donde una persona salta a una conclusión rápidamente (ej. "Mi jefe no confía en mí porque no me invitó a la reunión").	</t>
  </si>
  <si>
    <t>Actividad 2 (Optativa puedes hacerla si lo consideras apropiado)</t>
  </si>
  <si>
    <t>Coloca el tiempo que usar en la actividad, un tiempo sugerido 20 minutos</t>
  </si>
  <si>
    <t>Se pide a los estudiantes que piensen en un sistema de ingeniería conocido (ej. un termostato de casa o el control de velocidad de un carro).</t>
  </si>
  <si>
    <t>3. Cierre</t>
  </si>
  <si>
    <t>Tiene que estar en un rango de 10 a 15 minutos</t>
  </si>
  <si>
    <t>Asignacion de Actividades</t>
  </si>
  <si>
    <t>1. Conclusión (3 min): La calidad del modelo de ingeniería comienza con la calidad del modelo mental (la interpretación de la realidad).
	2. Asignación de Actividades (7 min):
	Tarea Preparatoria Obligatoria (para Semana 3): Investigar a fondo las Operaciones Mentales Básicas del Pensamiento Sistémico (Distinción, Relación, Perspectiva, Organización) y la definición de Pensamiento Adaptativo Complejo.</t>
  </si>
  <si>
    <t>Resuelve alguna duda, asigna las actividades que deben realizar, dudas de proyectos, etc</t>
  </si>
  <si>
    <t>Conciencia Sistémica</t>
  </si>
  <si>
    <t>Reconocer que las soluciones eficaces se encuentran en el cambio de estructura y perspectiva (el sistema), no solo de los componentes.</t>
  </si>
  <si>
    <t>Se relaciona con el Pensamiento Sistémico como Emergente y la Perspectiva. Fomenta la habilidad de Comprender que los problemas complejos requieren cambiar el marco mental (paradigma), un paso esencial antes de aplicar soluciones técnicas.</t>
  </si>
  <si>
    <t>otros</t>
  </si>
  <si>
    <t>Los estudiantes reciben un Paradigma conocido (ej. "Siempre hay que maximizar la eficiencia y reducir costos al máximo"). Deben Comprender cómo este paradigma (modelo mental compartido) impacta negativamente en el sistema completo a largo plazo (ej. afecta la calidad, la moral, o la innovación). Discutir si es un ejemplo de pensamiento adaptativo complejo o una trampa mental.</t>
  </si>
  <si>
    <t>Lectura Optativa: Tutorial introductorio sobre el manejo de MATLAB/SIMULINK (preparación para el uso de la herramienta referente del MIT en la semana 7).</t>
  </si>
  <si>
    <t>Orientación a la Causa Raíz</t>
  </si>
  <si>
    <t>Enfocarse en la estructura del sistema (el círculo) en lugar de los eventos (la línea) para evitar la transferencia del problema.</t>
  </si>
  <si>
    <t>Se relaciona con los Ejemplos de Retroalimentación y Pensamiento Circular. Fomenta la habilidad de Comprender y aplicar la lógica sistémica, alejándose de la búsqueda de una única "causa" lineal.</t>
  </si>
  <si>
    <t>Ejercicio practico</t>
  </si>
  <si>
    <t>Se presentan 3-4 escenarios. El estudiante debe Comprender la dinámica e identificar dónde la causalidad es circular.</t>
  </si>
  <si>
    <t xml:space="preserve">"1. Conclusión (3 min): La esencia del pensamiento sistémico es la Retroalimentación. Dejar de pensar en líneas y empezar a pensar en círculos es crucial para el análisis.
	2. Asignación de Actividades (7 min):
	Tarea Preparatoria Obligatoria (para Semana 5): Investigar las definiciones formales de Subsistema, Suprasistema, Sinergia y Emergencia. Buscar ejemplos de sistemas naturales y sistemas físicos diseñados (preparación para la clasificación)."							
							</t>
  </si>
  <si>
    <t>Estructura y Curiosidad Científica</t>
  </si>
  <si>
    <t xml:space="preserve">Interés por desentrañar la estructura formal (partes y relaciones) que define el comportamiento de los sistemas.			
							</t>
  </si>
  <si>
    <t>Se relaciona con los Fundamentos del pensamiento sistémico. Permite al estudiante Analizar que el comportamiento de un sistema se explica por su estructura (subsistemas, límites) y propiedades emergentes, preparando el terreno para el modelado formal de ingeniería.</t>
  </si>
  <si>
    <t>se presentan varios sistemas (ej. un termostato, un ecosistema, un grupo de trabajo). Los estudiantes deben Analizar y clasificar cada uno: 1. Su origen. 2. Identificar los límites y los subsistemas. 3. Determinar si exhiben sinergia o emergencia y explicar por qué.</t>
  </si>
  <si>
    <t xml:space="preserve">Se muestran tres conjuntos de polos de un sistema de 2do orden. Los estudiantes deben Analizar el conjunto de polos que produce: a) La respuesta más rápida; b) El mayor sobreimpulso.				</t>
  </si>
  <si>
    <t xml:space="preserve">Elegir un problema sistémico de baja a media complejidad (ej. un problema de gestión de inventario, un conflicto social, un problema de tráfico recurrente). Listar al menos 6 variables clave que están interconectadas y que podrían formar la base de un Diagrama de Ciclos Causales (DCC).
</t>
  </si>
  <si>
    <t>Vision Profunda</t>
  </si>
  <si>
    <t>Tendencia a buscar las causas estructurales y los patrones, y no conformarse con la explicación superficial de los eventos.</t>
  </si>
  <si>
    <t>Se relaciona directamente con el Modelo del Iceberg. Fomenta que el estudiante Identifique los patrones y estructuras (debajo de la superficie) para ir más allá de los eventos (la punta del iceberg), un paso crucial en el análisis sistémico.</t>
  </si>
  <si>
    <t>Los estudiantes reciben un problema basado en eventos (ej. "Las ventas bajaron este mes"). Deben Analizar el problema usando el Modelo del Iceberg: 1. Eventos: Describir lo que pasó. 2. Patrones: Identificar tendencias históricas. 3. Estructuras: Hipotetizar qué mecanismos causan los patrones (ej. estructura de comisiones). 4. Modelos Mentales: Identificar el paradigma que sostiene la estructura (ej. "Solo hay que culpar a los vendedores").</t>
  </si>
  <si>
    <t xml:space="preserve">        1. Conclusión (3 min): El Modelo del Iceberg es la herramienta clave para pasar del pensamiento reactivo (eventos) al pensamiento creativo (estructuras). El verdadero cambio ocurre al modificar los modelos mentales.
        2. Asignación de Actividades (7 min):
        Tarea Preparatoria Obligatoria (para Semana 7): Elegir un problema de la vida diaria y aplicar el Modelo del Iceberg, identificando un evento clave y al menos una Estructura subyacente que lo alimenta. Luego, investigar 3-5 Hábitos clave de un pensador sistémico.</t>
  </si>
  <si>
    <t>Intención y Práctica</t>
  </si>
  <si>
    <t>La disciplina consciente para adoptar las prácticas sistémicas en la vida diaria.</t>
  </si>
  <si>
    <t>Se relaciona con los Hábitos de un Pensador Sistémico. Fomenta que el estudiante Comprenda que el pensamiento sistémico no es solo conocimiento, sino un conjunto de prácticas intencionales (hábitos) que mejoran la toma de decisiones a largo plazo.</t>
  </si>
  <si>
    <t>Los estudiantes reciben un dilema de ingeniería/gestión (ej. "Elegir un proveedor más barato vs. uno más confiable"). Deben Comprender y debatir: 1. ¿Cómo se aplicaría el hábito de buscar el bucle (retroalimentación) en esta decisión? 2. ¿Cómo se aplicaría el hábito de ver a largo plazo? 3. Sugerir una decisión basada en dos hábitos sistémicos.</t>
  </si>
  <si>
    <t>1. Conclusión (5 min): Los hábitos son las "operaciones mentales" automatizadas que transforman la forma en que interactuamos con el sistema. La perspectiva a largo plazo es esencial.
        2. Asignación de Actividades (10 min):
        Tarea Preparatoria Obligatoria (para Semana 8): Investigar los componentes de los Mapas DSRP (Distinciones, Sistemas, Relaciones, Perspectivas) y un tutorial básico sobre la construcción de Diagramas de Causa y Efecto para formalizar las interdependencias.</t>
  </si>
  <si>
    <t>Articulación Lógica</t>
  </si>
  <si>
    <t>Habilidad de traducir una idea compleja a un modelo visual y estructurado.</t>
  </si>
  <si>
    <t>Se relaciona con los Mapas DSRP y Diagramas de Causa y Efecto. Fomenta que el estudiante Analice y estructure las interdependencias sistémicas de manera formal y lógica, un paso esencial para la modelación.</t>
  </si>
  <si>
    <t>Los estudiantes reciben un sistema conceptual (ej. la dinámica de un grupo de estudio o el uso de un recurso natural). Deben Analizar el sistema para: 1. Modelar las variables y las relaciones con flechas. 2. Identificar y distinguir las interdependencias sistémicas y bucles circulares. 3. Señalar si alguna relación es de Refuerzo (R) o Compensación (C) de manera informal.</t>
  </si>
  <si>
    <t>1. Conclusión (5 min): Los mapas sistémicos y el DSRP son el "lenguaje" visual para articular las interdependencias. La identificación de la retroalimentación (R y C) es el paso más importante para entender la dinámica.
	2. Asignación de Actividades (10 min):
	Tarea Preparatoria Obligatoria (para Semana 9): Formalizar el entendimiento de la retroalimentación. Investigar la notación y el procedimiento para construir un Diagrama de Ciclos Causales (DCC) (variables, flechas, polaridades +/−, identificación de bucles R/C).</t>
  </si>
  <si>
    <t>Dinamización</t>
  </si>
  <si>
    <t>La disciplina de ver los sistemas no como fotos estáticas, sino como procesos que cambian con el tiempo.</t>
  </si>
  <si>
    <t>Se relaciona con los Ciclos Causales y las Acumulaciones. Fomenta que el estudiante Analice cómo la retroalimentación y las tasas de cambio (flujos) generan el patrón de comportamiento a lo largo del tiempo, no solo la causa y efecto inmediato.</t>
  </si>
  <si>
    <t>Los estudiantes aplican la competencia Aplica y Analiza el modelo.				
1. Se presenta un caso dinámico (ej. "La relación entre la publicidad y la calidad percibida"). 2. Los estudiantes deben Analizar el sistema para construir un DCC formal (incluyendo polaridades +/-, bucles R/C). 3. Aplicar la lógica de transición, identificando qué variables son Acumulaciones (Niveles) y cuáles son Tasas de Cambio (Flujos), preparando el terreno para la simulación en VENSIM.</t>
  </si>
  <si>
    <t xml:space="preserve">	1. Conclusión (5 min): El DCC es la herramienta principal de diagnóstico: nos permite ver cómo las Acumulaciones (Niveles) y las Tasas (Flujos) interactúan en el tiempo. La simulación convierte nuestro modelo conceptual en evidencia dinámica.
	2. Asignación de Actividades (10 min):
	Tarea Preparatoria Obligatoria (para Semana 10): Investigar los 4-5 Arquetipos Sistémicos más comunes (ej. Límites al Crecimiento, Desplazamiento de la Carga, Soluciones que Fallan) y buscar un ejemplo de la vida real para cada uno. Estos arquetipos son la clave para la intervención sistémica.
	Tarea de Software (Opcional): Instalar VENSIM (o el software de simulación dinámico designado) y practicar la construcción de un DCC simple.</t>
  </si>
  <si>
    <t>Experimentación</t>
  </si>
  <si>
    <t>Disposición a probar diferentes escenarios (políticas de intervención) en un entorno simulado para predecir su impacto real.</t>
  </si>
  <si>
    <t xml:space="preserve">
Se relaciona con la Simulación con VENSIM y el Análisis de Impacto. Fomenta que el estudiante Aplique la herramienta para pasar de la descripción a la predicción del comportamiento del sistema, validando la lógica del modelo.</t>
  </si>
  <si>
    <t>Los estudiantes Aplican y Analizan un modelo DCC simple previamente construido (ej. "Crecimiento de un producto").				
1. Construir y simular el modelo en VENSIM. 2. Analizar el patrón de comportamiento (BOT) generado por la simulación. 3. Experimentar con una variable (ej. reducir el tiempo de retraso) y analizar el nuevo impacto. 4. Identificar si el patrón de comportamiento corresponde a un Arquetipo Sistémico conocido (ej. el sistema solo crece y colapsa: Límites al Crecimiento).</t>
  </si>
  <si>
    <t>1. Conclusión (5 min): La simulación nos permite ir más allá del DCC estático, viendo el comportamiento temporal. Los Arquetipos son atajos mentales para identificar las estructuras comunes que causan los problemas recurrentes.
        2. Asignación de Actividades (10 min):
        Tarea Preparatoria Obligatoria (para Semana 11): Estudiar a fondo los Arquetipos Sistémicos. Preparar un breve análisis de un Arquetipo (ej. Desplazamiento de la Carga), identificando su estructura de DCC y un caso real donde se aplica.
        Tarea de Refuerzo: Repasar los hábitos del pensador sistémico y cómo se aplican al analizar un resultado de simulación. examen final para la semana 11</t>
  </si>
  <si>
    <t>Visión Estratégica</t>
  </si>
  <si>
    <t>Capacidad de identificar los puntos de máximo apalancamiento (lugares donde una pequeña acción genera un gran cambio) dentro de un sistema complejo.</t>
  </si>
  <si>
    <t>Se relaciona con los Arquetipos y la Resolución de Problemas Sistémicos. Fomenta que el estudiante busque soluciones a nivel de estructura (alto apalancamiento), en lugar de soluciones a nivel de eventos (bajo apalancamiento).</t>
  </si>
  <si>
    <t xml:space="preserve">1. Conclusión (5 min): La meta del pensamiento sistémico es cambiar el sistema, no solo gestionar los síntomas. El uso de Arquetipos y Simulación permite una Toma de Decisiones Estratégica y proactiva.
  </t>
  </si>
  <si>
    <t>La sumatoria de los puntos de los proyectos debe superar el  60% del total de la nota, no puede ser un 100%</t>
  </si>
  <si>
    <t>1. Primer Proyecto</t>
  </si>
  <si>
    <t>Horas para realizarlo</t>
  </si>
  <si>
    <t>Titulo</t>
  </si>
  <si>
    <t>De la Ceguera al Análisis: Mapeo de la Escalera de Inferencias y el Iceberg</t>
  </si>
  <si>
    <t>Qué tecnologías, lenguajes de programación, plataformas, hardware o software se utilizaran</t>
  </si>
  <si>
    <t>powerPoint,keynote o herramientas de mapeo como plectica o draw.io</t>
  </si>
  <si>
    <t>Descripción de lo que se realizara</t>
  </si>
  <si>
    <t>Seleccionar un conflicto o problema recurrente (personal, laboral o de gestión simple) y analizarlo en profundidad: 1. Mapear la Escalera de Inferencias del actor principal, identificando sus supuestos ocultos (Modelos Mentales). 2. Aplicar el Modelo del Iceberg para demostrar que la solución enfocada en el Evento falla, y proponer un punto de Intervención Estructural. 3. Clasificar el sistema elegido (natural, diseñado, actividad humana) y justificar la presencia de emergencia o sinergia.</t>
  </si>
  <si>
    <t>2. Segundo Proyecto</t>
  </si>
  <si>
    <t>3. Tercer Proyecto</t>
  </si>
  <si>
    <t>Optativa</t>
  </si>
  <si>
    <t>Practicas</t>
  </si>
  <si>
    <t>La sumatoria de los puntos de los practicas debe no debe super el  20%</t>
  </si>
  <si>
    <t>1. Primera Practica</t>
  </si>
  <si>
    <t>Obligatoria</t>
  </si>
  <si>
    <t xml:space="preserve">	Mapeo de la Dinámica Oculta: Identificación de la Retroalimentación</t>
  </si>
  <si>
    <t>Herramienta de diagramación simple (ej. Miro, Google Drawings, PowerPoint/Keynote, draw.io, plectica etc)</t>
  </si>
  <si>
    <t>Seleccionar dos escenarios o situaciones de complejidad baja (uno que muestre crecimiento/declive acelerado y otro que muestre equilibrio/estabilización, ej. un rumor, un aumento salarial, un plan de dieta, o el ciclo de mantenimiento de equipos). 1. Para el Escenario 1 (Refuerzo), identificar 4-5 variables clave y dibujar un Bucle de Refuerzo (R) con las polaridades correctas (+/−). 2. Para el Escenario 2 (Compensación), identificar 4-5 variables y dibujar un Bucle de Compensación (C) con las polaridades correctas. 3. Analizar cómo la dinámica del bucle genera el patrón de comportamiento (crecimiento exponencial vs. estabilización) y proponer una acción que no rompa el bucle, sino que lo modifique estratégicamente.</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</si>
  <si>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</si>
  <si>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</si>
  <si>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</si>
  <si>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</si>
  <si>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</si>
  <si>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</si>
  <si>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</si>
  <si>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</si>
  <si>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</si>
  <si>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Desconstrucción y Clasificación Sistémica</t>
  </si>
  <si>
    <t>Lucidchart, Miro o Draw.io (para diagramación de estructuras).</t>
  </si>
  <si>
    <t>Que conocimientos base y competencias esenciales se deben reforzar que permitan al estudiante afrontar con mayor solidez los contenidos del curso</t>
  </si>
  <si>
    <t>Antes de iniciar, el estudiante debe revisar:
Concepto de Entropía y Neguentropía.
Recursividad y Sinergia.
Diferencia entre Causalidad Lineal y Causalidad Circular.</t>
  </si>
  <si>
    <t>1. Primera Tarea</t>
  </si>
  <si>
    <t>Procesador de texto (Word, Google Docs) para el resumen de la investigación.</t>
  </si>
  <si>
    <t>Investigar a fondo las Operaciones Mentales Básicas del Pensamiento Sistémico (Distinción, Relación, Perspectiva, Organización) y la definición de Pensamiento Adaptativo Complejo. El estudiante debe resumir la esencia de cada operación y su rol en la construcción de modelos mentales sistémicos.</t>
  </si>
  <si>
    <t>2. Segunda Tarea</t>
  </si>
  <si>
    <t>Herramienta de diagramación simple (papel, PowerPoint, Miro) para los esquemas.</t>
  </si>
  <si>
    <t>Buscar tres ejemplos de situaciones (sociales o económicas) donde la causalidad lineal es una explicación insuficiente (ej. "castigar al culpable") y se requiere una explicación de causalidad circular (retroalimentación). Trazar un esquema muy simple (sin formalismos de DCC aún) para ilustrar el bucle.</t>
  </si>
  <si>
    <t>3. Tercera Tarea</t>
  </si>
  <si>
    <t xml:space="preserve">Definiciones formales de subsistemas </t>
  </si>
  <si>
    <t>Procesador de texto para las definiciones y los ejemplos.</t>
  </si>
  <si>
    <t>Investigar las definiciones formales de Subsistema, Suprasistema, Sinergia y Emergencia. Adicionalmente, buscar dos ejemplos de Sistemas Naturales y dos ejemplos de Sistemas Físicos Diseñados para practicar la clasificación que se verá en la próxima sesión.</t>
  </si>
  <si>
    <t>4. Cuarta Tarea</t>
  </si>
  <si>
    <t>Análisis de Problema Sistémico para Modelado Conceptual</t>
  </si>
  <si>
    <t>Procesador de texto o una simple hoja de cálculo.</t>
  </si>
  <si>
    <t>Elegir un problema sistémico de baja a media complejidad (ej. un problema de gestión de inventario, un conflicto social, un problema de tráfico recurrente). Listar al menos 6 variables clave que están interconectadas y que podrían formar la base de un Diagrama de Ciclos Causales (DCC).</t>
  </si>
  <si>
    <t>5. Quinta Tarea</t>
  </si>
  <si>
    <t>Aplicación del Modelo del Iceberg y Hábitos Sistémicos</t>
  </si>
  <si>
    <t>Procesador de texto para el reporte</t>
  </si>
  <si>
    <t>Elegir un problema personal o profesional. Aplicar el Modelo del Iceberg para identificar el Evento, los Patrones, la Estructura subyacente y el Modelo Mental que lo sostiene. Adicionalmente, investigar 3-5 Hábitos clave de un pensador sistémico y cómo la aplicación de uno de ellos podría haber evitado o resuelto el problema.</t>
  </si>
  <si>
    <t>6. Sexta Tarea</t>
  </si>
  <si>
    <t>Investigación de Mapas DSRP y Causalidad de Retroalimentación</t>
  </si>
  <si>
    <t>Procesador de texto o navegador web.</t>
  </si>
  <si>
    <t xml:space="preserve">        Investigar los componentes principales de los Mapas DSRP (Distinciones, Sistemas, Relaciones, Perspectivas). Preparar un tutorial o resumen básico sobre la construcción de Diagramas de Causa y Efecto, enfocándose en cómo se utiliza la notación de las flechas para ilustrar la Retroalimentación (bucles).</t>
  </si>
  <si>
    <t>7. Septima Tarea</t>
  </si>
  <si>
    <t>Procesador de texto para el análisis.</t>
  </si>
  <si>
    <t>Investigar los 4-5 Arquetipos Sistémicos más comunes (ej. Límites al Crecimiento, Desplazamiento de la Carga, Soluciones que Fallan). Para un solo Arquetipo (el elegido), el estudiante debe describir su estructura de DCC (conceptual) e identificar un ejemplo de la vida real donde se manifiesta.</t>
  </si>
  <si>
    <t>Codigo-Nombre</t>
  </si>
  <si>
    <t>Competencias</t>
  </si>
  <si>
    <t>17 - Área Social Humanística 1</t>
  </si>
  <si>
    <t>101 - Área Matemática Básica 1</t>
  </si>
  <si>
    <t>Identifica oportunidades y riesgos para la innovación y adaptación de
 conocimientos y tecnologías para resolver problemas.</t>
  </si>
  <si>
    <t>5 - Técnicas de Estudio e Investigación</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</si>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</sst>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color rgb="FFFFFFFF"/>
      <name val="Arial"/>
    </font>
    <font>
      <b/>
      <sz val="12.0"/>
      <color theme="8"/>
      <name val="Arial"/>
    </font>
    <font>
      <color rgb="FFB7B7B7"/>
      <name val="Arial"/>
    </font>
    <font>
      <sz val="9.0"/>
      <color theme="1"/>
      <name val="Arial"/>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theme="1"/>
      <name val="Arial"/>
      <scheme val="minor"/>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14" fillId="0" fontId="1" numFmtId="0" xfId="0" applyAlignment="1" applyBorder="1" applyFont="1">
      <alignment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vertical="bottom"/>
    </xf>
    <xf borderId="9" fillId="9" fontId="1" numFmtId="0" xfId="0" applyAlignment="1" applyBorder="1" applyFill="1" applyFont="1">
      <alignment vertical="bottom"/>
    </xf>
    <xf borderId="14" fillId="10" fontId="1" numFmtId="0" xfId="0" applyAlignment="1" applyBorder="1" applyFill="1" applyFont="1">
      <alignment readingOrder="0" vertical="bottom"/>
    </xf>
    <xf borderId="9" fillId="11" fontId="1" numFmtId="0" xfId="0" applyAlignment="1" applyBorder="1" applyFill="1" applyFont="1">
      <alignment readingOrder="0" vertical="bottom"/>
    </xf>
    <xf borderId="14" fillId="12" fontId="1" numFmtId="0" xfId="0" applyAlignment="1" applyBorder="1" applyFill="1" applyFont="1">
      <alignment readingOrder="0" vertical="bottom"/>
    </xf>
    <xf borderId="9" fillId="13" fontId="1" numFmtId="0" xfId="0" applyAlignment="1" applyBorder="1" applyFill="1" applyFont="1">
      <alignment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9" fontId="1" numFmtId="0" xfId="0" applyAlignment="1" applyBorder="1" applyFont="1">
      <alignment vertical="bottom"/>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9" fillId="13" fontId="1" numFmtId="0" xfId="0" applyAlignment="1" applyBorder="1" applyFont="1">
      <alignment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2" numFmtId="0" xfId="0" applyFont="1"/>
    <xf borderId="0" fillId="0" fontId="13" numFmtId="0" xfId="0" applyFont="1"/>
    <xf borderId="0" fillId="0" fontId="14" numFmtId="0" xfId="0" applyFont="1"/>
    <xf borderId="0" fillId="0" fontId="10" numFmtId="0" xfId="0" applyAlignment="1" applyFont="1">
      <alignment vertical="bottom"/>
    </xf>
    <xf borderId="9" fillId="0" fontId="10" numFmtId="0" xfId="0" applyAlignment="1" applyBorder="1" applyFont="1">
      <alignment shrinkToFit="0" vertical="bottom" wrapText="1"/>
    </xf>
    <xf borderId="9" fillId="0" fontId="15" numFmtId="0" xfId="0" applyAlignment="1" applyBorder="1" applyFont="1">
      <alignment readingOrder="0" shrinkToFit="0" vertical="bottom" wrapText="1"/>
    </xf>
    <xf borderId="9" fillId="0" fontId="1" numFmtId="0" xfId="0" applyAlignment="1" applyBorder="1" applyFont="1">
      <alignment vertical="bottom"/>
    </xf>
    <xf borderId="9" fillId="0" fontId="3" numFmtId="0" xfId="0" applyAlignment="1" applyBorder="1" applyFont="1">
      <alignment horizontal="center" readingOrder="0" shrinkToFit="0" vertical="bottom" wrapText="1"/>
    </xf>
    <xf borderId="0" fillId="0" fontId="1" numFmtId="0" xfId="0" applyAlignment="1" applyFont="1">
      <alignment horizontal="right" vertical="bottom"/>
    </xf>
    <xf borderId="9" fillId="0" fontId="1" numFmtId="0" xfId="0" applyAlignment="1" applyBorder="1" applyFont="1">
      <alignment vertical="bottom"/>
    </xf>
    <xf borderId="0" fillId="0" fontId="1" numFmtId="0" xfId="0" applyAlignment="1" applyFont="1">
      <alignment horizontal="right" vertical="bottom"/>
    </xf>
    <xf borderId="9" fillId="0" fontId="15" numFmtId="0" xfId="0" applyAlignment="1" applyBorder="1" applyFont="1">
      <alignment shrinkToFit="0" vertical="bottom" wrapText="1"/>
    </xf>
    <xf borderId="9" fillId="7" fontId="1" numFmtId="0" xfId="0" applyAlignment="1" applyBorder="1" applyFont="1">
      <alignment shrinkToFit="0" vertical="bottom" wrapText="1"/>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6" numFmtId="0" xfId="0" applyFont="1"/>
    <xf borderId="0" fillId="0" fontId="17" numFmtId="0" xfId="0" applyAlignment="1" applyFont="1">
      <alignment shrinkToFit="0" wrapText="1"/>
    </xf>
    <xf borderId="0" fillId="15" fontId="12" numFmtId="0" xfId="0" applyFill="1" applyFont="1"/>
    <xf borderId="0" fillId="0" fontId="18" numFmtId="0" xfId="0" applyFont="1"/>
    <xf borderId="9" fillId="4" fontId="1" numFmtId="0" xfId="0" applyAlignment="1" applyBorder="1" applyFont="1">
      <alignment shrinkToFit="0" vertical="bottom" wrapText="1"/>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19" numFmtId="0" xfId="0" applyFont="1"/>
    <xf borderId="14" fillId="0" fontId="1" numFmtId="0" xfId="0" applyAlignment="1" applyBorder="1" applyFont="1">
      <alignment horizontal="right" vertical="bottom"/>
    </xf>
    <xf borderId="0" fillId="0" fontId="20" numFmtId="0" xfId="0" applyAlignment="1" applyFont="1">
      <alignment shrinkToFit="0" wrapText="1"/>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0" numFmtId="0" xfId="0" applyFont="1"/>
    <xf borderId="0" fillId="16" fontId="21" numFmtId="0" xfId="0" applyFill="1" applyFont="1"/>
    <xf borderId="14" fillId="4" fontId="1" numFmtId="0" xfId="0" applyBorder="1" applyFont="1"/>
    <xf borderId="0" fillId="0" fontId="17" numFmtId="0" xfId="0" applyFont="1"/>
    <xf borderId="9" fillId="17" fontId="1" numFmtId="0" xfId="0" applyBorder="1" applyFill="1" applyFont="1"/>
    <xf borderId="14" fillId="17" fontId="1" numFmtId="0" xfId="0" applyBorder="1" applyFont="1"/>
    <xf borderId="0" fillId="0" fontId="22" numFmtId="0" xfId="0"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3" numFmtId="0" xfId="0" applyAlignment="1" applyBorder="1" applyFont="1">
      <alignment readingOrder="0"/>
    </xf>
    <xf borderId="0" fillId="0" fontId="23" numFmtId="0" xfId="0" applyFont="1"/>
    <xf borderId="23" fillId="0" fontId="6" numFmtId="0" xfId="0" applyBorder="1" applyFont="1"/>
    <xf borderId="24" fillId="0" fontId="6" numFmtId="0" xfId="0" applyBorder="1" applyFont="1"/>
    <xf borderId="14" fillId="0" fontId="23" numFmtId="0" xfId="0" applyBorder="1" applyFont="1"/>
    <xf borderId="0" fillId="0" fontId="24" numFmtId="0" xfId="0" applyFont="1"/>
    <xf borderId="17" fillId="0" fontId="1" numFmtId="0" xfId="0" applyBorder="1" applyFont="1"/>
    <xf borderId="17" fillId="0" fontId="1" numFmtId="0" xfId="0" applyAlignment="1" applyBorder="1" applyFont="1">
      <alignment readingOrder="0"/>
    </xf>
    <xf borderId="17" fillId="0" fontId="1" numFmtId="0" xfId="0" applyAlignment="1" applyBorder="1" applyFont="1">
      <alignment readingOrder="0" vertical="bottom"/>
    </xf>
    <xf borderId="0" fillId="0" fontId="22" numFmtId="0" xfId="0" applyAlignment="1" applyFont="1">
      <alignment readingOrder="0"/>
    </xf>
    <xf borderId="15" fillId="0" fontId="1" numFmtId="0" xfId="0" applyBorder="1" applyFont="1"/>
    <xf borderId="16" fillId="0" fontId="1" numFmtId="0" xfId="0" applyBorder="1" applyFont="1"/>
    <xf borderId="0" fillId="0" fontId="2" numFmtId="0" xfId="0" applyAlignment="1" applyFont="1">
      <alignment horizontal="center"/>
    </xf>
    <xf borderId="0" fillId="16" fontId="21" numFmtId="0" xfId="0" applyAlignment="1" applyFont="1">
      <alignment readingOrder="0"/>
    </xf>
    <xf borderId="17" fillId="0" fontId="25" numFmtId="0" xfId="0" applyAlignment="1" applyBorder="1" applyFont="1">
      <alignment readingOrder="0"/>
    </xf>
    <xf borderId="0" fillId="0" fontId="2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f>
        <v>10</v>
      </c>
      <c r="C11" s="15">
        <f>5</f>
        <v>5</v>
      </c>
      <c r="D11" s="16"/>
      <c r="E11" s="10"/>
      <c r="F11" s="11"/>
      <c r="G11" s="17">
        <v>10.0</v>
      </c>
    </row>
    <row r="12" ht="15.75" customHeight="1">
      <c r="A12" s="18" t="s">
        <v>14</v>
      </c>
      <c r="B12" s="14">
        <f>Proyectos!C6</f>
        <v>60</v>
      </c>
      <c r="C12" s="15">
        <f>Proyectos!C5</f>
        <v>10</v>
      </c>
      <c r="D12" s="16"/>
      <c r="E12" s="10"/>
      <c r="F12" s="11"/>
      <c r="G12" s="17">
        <v>60.0</v>
      </c>
    </row>
    <row r="13" ht="15.75" customHeight="1">
      <c r="A13" s="18" t="s">
        <v>15</v>
      </c>
      <c r="B13" s="14">
        <f>Practicas!C6</f>
        <v>20</v>
      </c>
      <c r="C13" s="15">
        <f>Practicas!C5</f>
        <v>8</v>
      </c>
      <c r="D13" s="16"/>
      <c r="E13" s="10"/>
      <c r="F13" s="11"/>
      <c r="G13" s="17">
        <v>20.0</v>
      </c>
    </row>
    <row r="14" ht="15.75" customHeight="1">
      <c r="A14" s="19" t="s">
        <v>16</v>
      </c>
      <c r="B14" s="20">
        <f>Tareas!C6</f>
        <v>10</v>
      </c>
      <c r="C14" s="15">
        <f>Tareas!C5</f>
        <v>14</v>
      </c>
      <c r="D14" s="21"/>
      <c r="E14" s="22"/>
      <c r="F14" s="23"/>
      <c r="G14" s="17">
        <v>10.0</v>
      </c>
    </row>
    <row r="15" ht="15.75" customHeight="1">
      <c r="A15" s="24" t="s">
        <v>17</v>
      </c>
      <c r="B15" s="25">
        <f t="shared" ref="B15:C15" si="1">SUM(B11:B14)</f>
        <v>100</v>
      </c>
      <c r="C15" s="25">
        <f t="shared" si="1"/>
        <v>37</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28"/>
      <c r="G15" s="2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0"/>
      <c r="B1" s="31" t="s">
        <v>19</v>
      </c>
      <c r="Q1" s="30"/>
      <c r="R1" s="30"/>
      <c r="S1" s="30"/>
      <c r="T1" s="30"/>
      <c r="U1" s="30"/>
      <c r="V1" s="30"/>
      <c r="W1" s="30"/>
      <c r="X1" s="30"/>
      <c r="Y1" s="30"/>
      <c r="Z1" s="30"/>
    </row>
    <row r="2">
      <c r="A2" s="30"/>
      <c r="B2" s="3" t="s">
        <v>1</v>
      </c>
      <c r="C2" s="4" t="s">
        <v>2</v>
      </c>
      <c r="I2" s="30"/>
      <c r="J2" s="30"/>
      <c r="K2" s="30"/>
      <c r="L2" s="30"/>
      <c r="M2" s="30"/>
      <c r="N2" s="30"/>
      <c r="O2" s="30"/>
      <c r="P2" s="30"/>
      <c r="Q2" s="30"/>
      <c r="R2" s="30"/>
      <c r="S2" s="30"/>
      <c r="T2" s="30"/>
      <c r="U2" s="30"/>
      <c r="V2" s="30"/>
      <c r="W2" s="30"/>
      <c r="X2" s="30"/>
      <c r="Y2" s="30"/>
      <c r="Z2" s="30"/>
    </row>
    <row r="3">
      <c r="A3" s="30"/>
      <c r="B3" s="3" t="s">
        <v>3</v>
      </c>
      <c r="C3" s="6" t="s">
        <v>4</v>
      </c>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2" t="s">
        <v>20</v>
      </c>
      <c r="C5" s="33"/>
      <c r="D5" s="33"/>
      <c r="E5" s="33"/>
      <c r="F5" s="33"/>
      <c r="G5" s="34"/>
      <c r="H5" s="30"/>
      <c r="I5" s="32" t="s">
        <v>21</v>
      </c>
      <c r="J5" s="33"/>
      <c r="K5" s="33"/>
      <c r="L5" s="33"/>
      <c r="M5" s="33"/>
      <c r="N5" s="33"/>
      <c r="O5" s="33"/>
      <c r="P5" s="34"/>
      <c r="Q5" s="30"/>
      <c r="R5" s="30"/>
      <c r="S5" s="30"/>
      <c r="T5" s="30"/>
      <c r="U5" s="30"/>
      <c r="V5" s="30"/>
      <c r="W5" s="30"/>
      <c r="X5" s="30"/>
      <c r="Y5" s="30"/>
      <c r="Z5" s="30"/>
    </row>
    <row r="6">
      <c r="A6" s="30"/>
      <c r="B6" s="35">
        <v>1.0</v>
      </c>
      <c r="C6" s="36" t="s">
        <v>22</v>
      </c>
      <c r="D6" s="33"/>
      <c r="E6" s="33"/>
      <c r="F6" s="33"/>
      <c r="G6" s="34"/>
      <c r="H6" s="37"/>
      <c r="I6" s="35">
        <v>1.0</v>
      </c>
      <c r="J6" s="36" t="s">
        <v>23</v>
      </c>
      <c r="K6" s="33"/>
      <c r="L6" s="33"/>
      <c r="M6" s="33"/>
      <c r="N6" s="33"/>
      <c r="O6" s="33"/>
      <c r="P6" s="34"/>
      <c r="Q6" s="30"/>
      <c r="R6" s="30"/>
      <c r="S6" s="30"/>
      <c r="T6" s="30"/>
      <c r="U6" s="30"/>
      <c r="V6" s="30"/>
      <c r="W6" s="30"/>
      <c r="X6" s="30"/>
      <c r="Y6" s="30"/>
      <c r="Z6" s="30"/>
    </row>
    <row r="7">
      <c r="A7" s="30"/>
      <c r="B7" s="38">
        <v>2.0</v>
      </c>
      <c r="C7" s="36" t="s">
        <v>24</v>
      </c>
      <c r="D7" s="33"/>
      <c r="E7" s="33"/>
      <c r="F7" s="33"/>
      <c r="G7" s="34"/>
      <c r="H7" s="30"/>
      <c r="I7" s="39">
        <v>2.0</v>
      </c>
      <c r="J7" s="36" t="s">
        <v>25</v>
      </c>
      <c r="K7" s="33"/>
      <c r="L7" s="33"/>
      <c r="M7" s="33"/>
      <c r="N7" s="33"/>
      <c r="O7" s="33"/>
      <c r="P7" s="34"/>
      <c r="Q7" s="30"/>
      <c r="R7" s="30"/>
      <c r="S7" s="30"/>
      <c r="T7" s="30"/>
      <c r="U7" s="30"/>
      <c r="V7" s="30"/>
      <c r="W7" s="30"/>
      <c r="X7" s="30"/>
      <c r="Y7" s="30"/>
      <c r="Z7" s="30"/>
    </row>
    <row r="8">
      <c r="A8" s="30"/>
      <c r="B8" s="38">
        <v>3.0</v>
      </c>
      <c r="C8" s="36" t="s">
        <v>26</v>
      </c>
      <c r="D8" s="33"/>
      <c r="E8" s="33"/>
      <c r="F8" s="33"/>
      <c r="G8" s="34"/>
      <c r="H8" s="30"/>
      <c r="I8" s="39">
        <v>3.0</v>
      </c>
      <c r="J8" s="40"/>
      <c r="K8" s="33"/>
      <c r="L8" s="33"/>
      <c r="M8" s="33"/>
      <c r="N8" s="33"/>
      <c r="O8" s="33"/>
      <c r="P8" s="34"/>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41" t="s">
        <v>27</v>
      </c>
      <c r="C11" s="41" t="s">
        <v>28</v>
      </c>
      <c r="D11" s="41" t="s">
        <v>29</v>
      </c>
      <c r="E11" s="42" t="s">
        <v>30</v>
      </c>
      <c r="F11" s="34"/>
      <c r="G11" s="43" t="s">
        <v>31</v>
      </c>
      <c r="H11" s="44" t="s">
        <v>32</v>
      </c>
      <c r="I11" s="34"/>
      <c r="J11" s="41" t="s">
        <v>33</v>
      </c>
      <c r="K11" s="30"/>
      <c r="L11" s="30"/>
      <c r="M11" s="30"/>
      <c r="N11" s="30"/>
      <c r="O11" s="30"/>
      <c r="P11" s="30"/>
      <c r="Q11" s="30"/>
      <c r="R11" s="30"/>
      <c r="S11" s="30"/>
      <c r="T11" s="30"/>
      <c r="U11" s="30"/>
      <c r="V11" s="30"/>
      <c r="W11" s="30"/>
      <c r="X11" s="30"/>
      <c r="Y11" s="30"/>
      <c r="Z11" s="30"/>
    </row>
    <row r="12">
      <c r="A12" s="30"/>
      <c r="B12" s="45">
        <v>1.0</v>
      </c>
      <c r="C12" s="46" t="s">
        <v>34</v>
      </c>
      <c r="D12" s="47" t="s">
        <v>35</v>
      </c>
      <c r="E12" s="48" t="s">
        <v>36</v>
      </c>
      <c r="F12" s="34"/>
      <c r="G12" s="49" t="s">
        <v>37</v>
      </c>
      <c r="H12" s="50" t="s">
        <v>38</v>
      </c>
      <c r="I12" s="34"/>
      <c r="J12" s="51" t="s">
        <v>39</v>
      </c>
      <c r="K12" s="30"/>
      <c r="L12" s="30"/>
      <c r="M12" s="30"/>
      <c r="N12" s="30"/>
      <c r="O12" s="30"/>
      <c r="P12" s="30"/>
      <c r="Q12" s="30"/>
      <c r="R12" s="30"/>
      <c r="S12" s="30"/>
      <c r="T12" s="30"/>
      <c r="U12" s="30"/>
      <c r="V12" s="30"/>
      <c r="W12" s="30"/>
      <c r="X12" s="30"/>
      <c r="Y12" s="30"/>
      <c r="Z12" s="30"/>
    </row>
    <row r="13">
      <c r="A13" s="30"/>
      <c r="B13" s="52"/>
      <c r="C13" s="53" t="str">
        <f>D12 &amp; " " &amp; E12 &amp; " " &amp;G12&amp; " " &amp;H12&amp; " " </f>
        <v>Analiza .. los principios  basicos de la teoría de sistemas y su importancia en la vida	 mediante modelos sistémicos y recursos gráficos para analizar el funcionamiento, la estructura y las interacciones de los sistemas en distintos entornos tecnológicos	 </v>
      </c>
      <c r="D13" s="33"/>
      <c r="E13" s="33"/>
      <c r="F13" s="33"/>
      <c r="G13" s="33"/>
      <c r="H13" s="33"/>
      <c r="I13" s="33"/>
      <c r="J13" s="34"/>
      <c r="K13" s="30"/>
      <c r="L13" s="30"/>
      <c r="M13" s="30"/>
      <c r="N13" s="30"/>
      <c r="O13" s="30"/>
      <c r="P13" s="30"/>
      <c r="Q13" s="30"/>
      <c r="R13" s="30"/>
      <c r="S13" s="30"/>
      <c r="T13" s="30"/>
      <c r="U13" s="30"/>
      <c r="V13" s="30"/>
      <c r="W13" s="30"/>
      <c r="X13" s="30"/>
      <c r="Y13" s="30"/>
      <c r="Z13" s="30"/>
    </row>
    <row r="14">
      <c r="A14" s="30"/>
      <c r="B14" s="45">
        <v>2.0</v>
      </c>
      <c r="C14" s="46" t="s">
        <v>34</v>
      </c>
      <c r="D14" s="54" t="s">
        <v>40</v>
      </c>
      <c r="E14" s="55" t="s">
        <v>41</v>
      </c>
      <c r="F14" s="34"/>
      <c r="G14" s="56" t="s">
        <v>42</v>
      </c>
      <c r="H14" s="57" t="s">
        <v>43</v>
      </c>
      <c r="I14" s="34"/>
      <c r="J14" s="51" t="s">
        <v>44</v>
      </c>
      <c r="K14" s="30"/>
      <c r="L14" s="30"/>
      <c r="M14" s="30"/>
      <c r="N14" s="30"/>
      <c r="O14" s="30"/>
      <c r="P14" s="30"/>
      <c r="Q14" s="30"/>
      <c r="R14" s="30"/>
      <c r="S14" s="30"/>
      <c r="T14" s="30"/>
      <c r="U14" s="30"/>
      <c r="V14" s="30"/>
      <c r="W14" s="30"/>
      <c r="X14" s="30"/>
      <c r="Y14" s="30"/>
      <c r="Z14" s="30"/>
    </row>
    <row r="15">
      <c r="A15" s="30"/>
      <c r="B15" s="52"/>
      <c r="C15" s="53" t="str">
        <f>D14 &amp; " " &amp; E14 &amp; " " &amp;G14&amp; " " &amp;H14&amp; " " </f>
        <v>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v>
      </c>
      <c r="D15" s="33"/>
      <c r="E15" s="33"/>
      <c r="F15" s="33"/>
      <c r="G15" s="33"/>
      <c r="H15" s="33"/>
      <c r="I15" s="33"/>
      <c r="J15" s="34"/>
      <c r="K15" s="30"/>
      <c r="L15" s="30"/>
      <c r="M15" s="30"/>
      <c r="N15" s="30"/>
      <c r="O15" s="30"/>
      <c r="P15" s="30"/>
      <c r="Q15" s="30"/>
      <c r="R15" s="30"/>
      <c r="S15" s="30"/>
      <c r="T15" s="30"/>
      <c r="U15" s="30"/>
      <c r="V15" s="30"/>
      <c r="W15" s="30"/>
      <c r="X15" s="30"/>
      <c r="Y15" s="30"/>
      <c r="Z15" s="30"/>
    </row>
    <row r="16">
      <c r="A16" s="30"/>
      <c r="B16" s="45">
        <v>3.0</v>
      </c>
      <c r="C16" s="46" t="s">
        <v>34</v>
      </c>
      <c r="D16" s="54" t="s">
        <v>45</v>
      </c>
      <c r="E16" s="58" t="s">
        <v>46</v>
      </c>
      <c r="F16" s="34"/>
      <c r="G16" s="59" t="s">
        <v>47</v>
      </c>
      <c r="H16" s="60" t="s">
        <v>48</v>
      </c>
      <c r="I16" s="34"/>
      <c r="J16" s="61" t="s">
        <v>49</v>
      </c>
      <c r="K16" s="30"/>
      <c r="L16" s="30"/>
      <c r="M16" s="30"/>
      <c r="N16" s="30"/>
      <c r="O16" s="30"/>
      <c r="P16" s="30"/>
      <c r="Q16" s="30"/>
      <c r="R16" s="30"/>
      <c r="S16" s="30"/>
      <c r="T16" s="30"/>
      <c r="U16" s="30"/>
      <c r="V16" s="30"/>
      <c r="W16" s="30"/>
      <c r="X16" s="30"/>
      <c r="Y16" s="30"/>
      <c r="Z16" s="30"/>
    </row>
    <row r="17">
      <c r="A17" s="30"/>
      <c r="B17" s="52"/>
      <c r="C17" s="53" t="str">
        <f>D16 &amp; " " &amp; E16 &amp; " " &amp;G16&amp; " " &amp;H16&amp; " " </f>
        <v>emplea los principios básicos de la teoría general de sistemas y del enfoque sistémico el desarrollo de simulaciones dinámicas y la práctica constante de hábitos de pensamiento sistémico para formular soluciones a problemas de baja y media complejidad </v>
      </c>
      <c r="D17" s="33"/>
      <c r="E17" s="33"/>
      <c r="F17" s="33"/>
      <c r="G17" s="33"/>
      <c r="H17" s="33"/>
      <c r="I17" s="33"/>
      <c r="J17" s="34"/>
      <c r="K17" s="30"/>
      <c r="L17" s="30"/>
      <c r="M17" s="30"/>
      <c r="N17" s="30"/>
      <c r="O17" s="30"/>
      <c r="P17" s="30"/>
      <c r="Q17" s="30"/>
      <c r="R17" s="30"/>
      <c r="S17" s="30"/>
      <c r="T17" s="30"/>
      <c r="U17" s="30"/>
      <c r="V17" s="30"/>
      <c r="W17" s="30"/>
      <c r="X17" s="30"/>
      <c r="Y17" s="30"/>
      <c r="Z17" s="30"/>
    </row>
    <row r="18">
      <c r="A18" s="30"/>
      <c r="B18" s="45">
        <v>4.0</v>
      </c>
      <c r="C18" s="46" t="s">
        <v>34</v>
      </c>
      <c r="D18" s="54" t="s">
        <v>50</v>
      </c>
      <c r="E18" s="58" t="s">
        <v>51</v>
      </c>
      <c r="F18" s="34"/>
      <c r="G18" s="59" t="s">
        <v>52</v>
      </c>
      <c r="H18" s="60" t="s">
        <v>53</v>
      </c>
      <c r="I18" s="34"/>
      <c r="J18" s="61" t="s">
        <v>44</v>
      </c>
      <c r="K18" s="30"/>
      <c r="L18" s="30"/>
      <c r="M18" s="30"/>
      <c r="N18" s="30"/>
      <c r="O18" s="30"/>
      <c r="P18" s="30"/>
      <c r="Q18" s="30"/>
      <c r="R18" s="30"/>
      <c r="S18" s="30"/>
      <c r="T18" s="30"/>
      <c r="U18" s="30"/>
      <c r="V18" s="30"/>
      <c r="W18" s="30"/>
      <c r="X18" s="30"/>
      <c r="Y18" s="30"/>
      <c r="Z18" s="30"/>
    </row>
    <row r="19">
      <c r="A19" s="30"/>
      <c r="B19" s="52"/>
      <c r="C19" s="53" t="str">
        <f>D18 &amp; " " &amp; E18 &amp; " " &amp;G18&amp; " " &amp;H18&amp; " " </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D19" s="33"/>
      <c r="E19" s="33"/>
      <c r="F19" s="33"/>
      <c r="G19" s="33"/>
      <c r="H19" s="33"/>
      <c r="I19" s="33"/>
      <c r="J19" s="34"/>
      <c r="K19" s="30"/>
      <c r="L19" s="30"/>
      <c r="M19" s="30"/>
      <c r="N19" s="30"/>
      <c r="O19" s="30"/>
      <c r="P19" s="30"/>
      <c r="Q19" s="30"/>
      <c r="R19" s="30"/>
      <c r="S19" s="30"/>
      <c r="T19" s="30"/>
      <c r="U19" s="30"/>
      <c r="V19" s="30"/>
      <c r="W19" s="30"/>
      <c r="X19" s="30"/>
      <c r="Y19" s="30"/>
      <c r="Z19" s="30"/>
    </row>
    <row r="20">
      <c r="A20" s="30"/>
      <c r="B20" s="45">
        <v>5.0</v>
      </c>
      <c r="C20" s="46" t="s">
        <v>34</v>
      </c>
      <c r="D20" s="54" t="s">
        <v>54</v>
      </c>
      <c r="E20" s="58" t="s">
        <v>55</v>
      </c>
      <c r="F20" s="34"/>
      <c r="G20" s="59" t="s">
        <v>56</v>
      </c>
      <c r="H20" s="60" t="s">
        <v>57</v>
      </c>
      <c r="I20" s="34"/>
      <c r="J20" s="61" t="s">
        <v>58</v>
      </c>
      <c r="K20" s="30"/>
      <c r="L20" s="30"/>
      <c r="M20" s="30"/>
      <c r="N20" s="30"/>
      <c r="O20" s="30"/>
      <c r="P20" s="30"/>
      <c r="Q20" s="30"/>
      <c r="R20" s="30"/>
      <c r="S20" s="30"/>
      <c r="T20" s="30"/>
      <c r="U20" s="30"/>
      <c r="V20" s="30"/>
      <c r="W20" s="30"/>
      <c r="X20" s="30"/>
      <c r="Y20" s="30"/>
      <c r="Z20" s="30"/>
    </row>
    <row r="21">
      <c r="A21" s="30"/>
      <c r="B21" s="52"/>
      <c r="C21" s="53" t="str">
        <f>D20 &amp; " " &amp; E20 &amp; " " &amp;G20&amp; " " &amp;H20&amp; " " </f>
        <v>identifica los conceptos fundamentales de la teoría de sistemas y del pensamiento sistémico mediante la revisión de definiciones para reconocer los elementos esenciales en el análisis y modelación de sistemas </v>
      </c>
      <c r="D21" s="33"/>
      <c r="E21" s="33"/>
      <c r="F21" s="33"/>
      <c r="G21" s="33"/>
      <c r="H21" s="33"/>
      <c r="I21" s="33"/>
      <c r="J21" s="34"/>
      <c r="K21" s="30"/>
      <c r="L21" s="30"/>
      <c r="M21" s="30"/>
      <c r="N21" s="30"/>
      <c r="O21" s="30"/>
      <c r="P21" s="30"/>
      <c r="Q21" s="30"/>
      <c r="R21" s="30"/>
      <c r="S21" s="30"/>
      <c r="T21" s="30"/>
      <c r="U21" s="30"/>
      <c r="V21" s="30"/>
      <c r="W21" s="30"/>
      <c r="X21" s="30"/>
      <c r="Y21" s="30"/>
      <c r="Z21" s="30"/>
    </row>
    <row r="22">
      <c r="A22" s="30"/>
      <c r="B22" s="45">
        <v>6.0</v>
      </c>
      <c r="C22" s="46" t="s">
        <v>34</v>
      </c>
      <c r="D22" s="54" t="s">
        <v>59</v>
      </c>
      <c r="E22" s="58" t="s">
        <v>60</v>
      </c>
      <c r="F22" s="34"/>
      <c r="G22" s="59" t="s">
        <v>61</v>
      </c>
      <c r="H22" s="60" t="s">
        <v>62</v>
      </c>
      <c r="I22" s="34"/>
      <c r="J22" s="61" t="s">
        <v>63</v>
      </c>
      <c r="K22" s="30"/>
      <c r="L22" s="30"/>
      <c r="M22" s="30"/>
      <c r="N22" s="30"/>
      <c r="O22" s="30"/>
      <c r="P22" s="30"/>
      <c r="Q22" s="30"/>
      <c r="R22" s="30"/>
      <c r="S22" s="30"/>
      <c r="T22" s="30"/>
      <c r="U22" s="30"/>
      <c r="V22" s="30"/>
      <c r="W22" s="30"/>
      <c r="X22" s="30"/>
      <c r="Y22" s="30"/>
      <c r="Z22" s="30"/>
    </row>
    <row r="23">
      <c r="A23" s="30"/>
      <c r="B23" s="52"/>
      <c r="C23" s="53" t="str">
        <f>D22 &amp; " " &amp; E22 &amp; " " &amp;G22&amp; " " &amp;H22&amp; " " </f>
        <v>Diseña un controlador (ej. PID) o una estrategia de intervención sistémica para articular las herramientas de modelado y simulación para combinar las herramientas de modelado y simulación </v>
      </c>
      <c r="D23" s="33"/>
      <c r="E23" s="33"/>
      <c r="F23" s="33"/>
      <c r="G23" s="33"/>
      <c r="H23" s="33"/>
      <c r="I23" s="33"/>
      <c r="J23" s="34"/>
      <c r="K23" s="30"/>
      <c r="L23" s="30"/>
      <c r="M23" s="30"/>
      <c r="N23" s="30"/>
      <c r="O23" s="30"/>
      <c r="P23" s="30"/>
      <c r="Q23" s="30"/>
      <c r="R23" s="30"/>
      <c r="S23" s="30"/>
      <c r="T23" s="30"/>
      <c r="U23" s="30"/>
      <c r="V23" s="30"/>
      <c r="W23" s="30"/>
      <c r="X23" s="30"/>
      <c r="Y23" s="30"/>
      <c r="Z23" s="30"/>
    </row>
    <row r="24">
      <c r="A24" s="30"/>
      <c r="B24" s="45">
        <v>7.0</v>
      </c>
      <c r="C24" s="46" t="s">
        <v>34</v>
      </c>
      <c r="D24" s="54" t="s">
        <v>64</v>
      </c>
      <c r="E24" s="58" t="s">
        <v>65</v>
      </c>
      <c r="F24" s="34"/>
      <c r="G24" s="59" t="s">
        <v>66</v>
      </c>
      <c r="H24" s="60" t="s">
        <v>67</v>
      </c>
      <c r="I24" s="34"/>
      <c r="J24" s="61" t="s">
        <v>63</v>
      </c>
      <c r="K24" s="30"/>
      <c r="L24" s="30"/>
      <c r="M24" s="30"/>
      <c r="N24" s="30"/>
      <c r="O24" s="30"/>
      <c r="P24" s="30"/>
      <c r="Q24" s="30"/>
      <c r="R24" s="30"/>
      <c r="S24" s="30"/>
      <c r="T24" s="30"/>
      <c r="U24" s="30"/>
      <c r="V24" s="30"/>
      <c r="W24" s="30"/>
      <c r="X24" s="30"/>
      <c r="Y24" s="30"/>
      <c r="Z24" s="30"/>
    </row>
    <row r="25">
      <c r="A25" s="30"/>
      <c r="B25" s="52"/>
      <c r="C25" s="53" t="str">
        <f>D24 &amp; " " &amp; E24 &amp; " " &amp;G24&amp; " " &amp;H24&amp; " " </f>
        <v>desarrolla pensamiento sistémico y la construcción de modelos mentales sistémicos con el fin de comprender, representar para comprender sistemas complejos en entornos dinámicos y multidisciplinarios </v>
      </c>
      <c r="D25" s="33"/>
      <c r="E25" s="33"/>
      <c r="F25" s="33"/>
      <c r="G25" s="33"/>
      <c r="H25" s="33"/>
      <c r="I25" s="33"/>
      <c r="J25" s="34"/>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62" t="s">
        <v>68</v>
      </c>
      <c r="C28" s="33"/>
      <c r="D28" s="33"/>
      <c r="E28" s="33"/>
      <c r="F28" s="33"/>
      <c r="G28" s="33"/>
      <c r="H28" s="33"/>
      <c r="I28" s="33"/>
      <c r="J28" s="34"/>
      <c r="K28" s="30"/>
      <c r="L28" s="30"/>
      <c r="M28" s="30"/>
      <c r="N28" s="30"/>
      <c r="O28" s="30"/>
      <c r="P28" s="30"/>
      <c r="Q28" s="30"/>
      <c r="R28" s="30"/>
      <c r="S28" s="30"/>
      <c r="T28" s="30"/>
      <c r="U28" s="30"/>
      <c r="V28" s="30"/>
      <c r="W28" s="30"/>
      <c r="X28" s="30"/>
      <c r="Y28" s="30"/>
      <c r="Z28" s="30"/>
    </row>
    <row r="29">
      <c r="A29" s="30"/>
      <c r="B29" s="63"/>
      <c r="C29" s="64"/>
      <c r="D29" s="64"/>
      <c r="E29" s="64"/>
      <c r="F29" s="64"/>
      <c r="G29" s="64"/>
      <c r="H29" s="64"/>
      <c r="I29" s="64"/>
      <c r="J29" s="65"/>
      <c r="K29" s="30"/>
      <c r="L29" s="30"/>
      <c r="M29" s="30"/>
      <c r="N29" s="30"/>
      <c r="O29" s="30"/>
      <c r="P29" s="30"/>
      <c r="Q29" s="30"/>
      <c r="R29" s="30"/>
      <c r="S29" s="30"/>
      <c r="T29" s="30"/>
      <c r="U29" s="30"/>
      <c r="V29" s="30"/>
      <c r="W29" s="30"/>
      <c r="X29" s="30"/>
      <c r="Y29" s="30"/>
      <c r="Z29" s="30"/>
    </row>
    <row r="30">
      <c r="A30" s="30"/>
      <c r="B30" s="66"/>
      <c r="C30" s="67"/>
      <c r="D30" s="67"/>
      <c r="E30" s="67"/>
      <c r="F30" s="67"/>
      <c r="G30" s="67"/>
      <c r="H30" s="67"/>
      <c r="I30" s="67"/>
      <c r="J30" s="68"/>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44.38"/>
  </cols>
  <sheetData>
    <row r="1" ht="15.75" customHeight="1"/>
    <row r="2" ht="15.75" customHeight="1">
      <c r="A2" s="69"/>
      <c r="B2" s="70" t="s">
        <v>69</v>
      </c>
    </row>
    <row r="3" ht="15.75" customHeight="1"/>
    <row r="4" ht="15.75" customHeight="1">
      <c r="B4" s="3" t="s">
        <v>1</v>
      </c>
      <c r="C4" s="4" t="s">
        <v>2</v>
      </c>
    </row>
    <row r="5" ht="15.75" customHeight="1">
      <c r="B5" s="3" t="s">
        <v>70</v>
      </c>
      <c r="C5" s="6" t="s">
        <v>4</v>
      </c>
    </row>
    <row r="6" ht="15.75" customHeight="1">
      <c r="H6" s="71"/>
    </row>
    <row r="7" ht="15.75" customHeight="1">
      <c r="H7" s="71"/>
    </row>
    <row r="8" ht="15.75" customHeight="1">
      <c r="A8" s="72"/>
      <c r="B8" s="46" t="s">
        <v>71</v>
      </c>
      <c r="C8" s="73" t="s">
        <v>72</v>
      </c>
      <c r="D8" s="46" t="s">
        <v>73</v>
      </c>
      <c r="E8" s="46" t="s">
        <v>74</v>
      </c>
      <c r="F8" s="46" t="s">
        <v>75</v>
      </c>
      <c r="G8" s="46" t="s">
        <v>76</v>
      </c>
      <c r="H8" s="46" t="s">
        <v>77</v>
      </c>
    </row>
    <row r="9" ht="15.75" customHeight="1">
      <c r="B9" s="6">
        <v>1.0</v>
      </c>
      <c r="C9" s="74" t="s">
        <v>78</v>
      </c>
      <c r="D9" s="75" t="s">
        <v>79</v>
      </c>
      <c r="E9" s="75" t="s">
        <v>80</v>
      </c>
      <c r="F9" s="75" t="s">
        <v>81</v>
      </c>
      <c r="G9" s="76" t="s">
        <v>82</v>
      </c>
      <c r="H9" s="77">
        <v>2.0</v>
      </c>
    </row>
    <row r="10" ht="15.75" customHeight="1">
      <c r="B10" s="6">
        <v>2.0</v>
      </c>
      <c r="C10" s="74" t="s">
        <v>78</v>
      </c>
      <c r="D10" s="78" t="s">
        <v>79</v>
      </c>
      <c r="E10" s="78" t="s">
        <v>80</v>
      </c>
      <c r="F10" s="78" t="s">
        <v>83</v>
      </c>
      <c r="G10" s="76" t="s">
        <v>82</v>
      </c>
      <c r="H10" s="77">
        <v>2.0</v>
      </c>
    </row>
    <row r="11" ht="15.75" customHeight="1">
      <c r="B11" s="6">
        <v>3.0</v>
      </c>
      <c r="C11" s="74" t="s">
        <v>78</v>
      </c>
      <c r="D11" s="78" t="s">
        <v>79</v>
      </c>
      <c r="E11" s="78" t="s">
        <v>80</v>
      </c>
      <c r="F11" s="78" t="s">
        <v>84</v>
      </c>
      <c r="G11" s="76" t="s">
        <v>82</v>
      </c>
      <c r="H11" s="77">
        <v>2.0</v>
      </c>
    </row>
    <row r="12" ht="15.75" customHeight="1">
      <c r="B12" s="6">
        <v>4.0</v>
      </c>
      <c r="C12" s="74" t="s">
        <v>78</v>
      </c>
      <c r="D12" s="78" t="s">
        <v>79</v>
      </c>
      <c r="E12" s="78" t="s">
        <v>80</v>
      </c>
      <c r="F12" s="78" t="s">
        <v>85</v>
      </c>
      <c r="G12" s="76" t="s">
        <v>82</v>
      </c>
      <c r="H12" s="77">
        <v>2.0</v>
      </c>
    </row>
    <row r="13" ht="15.75" customHeight="1">
      <c r="B13" s="6">
        <v>5.0</v>
      </c>
      <c r="C13" s="74" t="s">
        <v>78</v>
      </c>
      <c r="D13" s="78" t="s">
        <v>79</v>
      </c>
      <c r="E13" s="78" t="s">
        <v>80</v>
      </c>
      <c r="F13" s="78" t="s">
        <v>86</v>
      </c>
      <c r="G13" s="76" t="s">
        <v>82</v>
      </c>
      <c r="H13" s="77">
        <v>2.0</v>
      </c>
    </row>
    <row r="14" ht="15.75" customHeight="1">
      <c r="B14" s="6">
        <v>6.0</v>
      </c>
      <c r="C14" s="74" t="s">
        <v>78</v>
      </c>
      <c r="D14" s="78" t="s">
        <v>79</v>
      </c>
      <c r="E14" s="78" t="s">
        <v>80</v>
      </c>
      <c r="F14" s="78" t="s">
        <v>87</v>
      </c>
      <c r="G14" s="76" t="s">
        <v>82</v>
      </c>
      <c r="H14" s="77">
        <v>2.0</v>
      </c>
    </row>
    <row r="15" ht="15.75" customHeight="1">
      <c r="B15" s="6">
        <v>7.0</v>
      </c>
      <c r="C15" s="74" t="s">
        <v>78</v>
      </c>
      <c r="D15" s="78" t="s">
        <v>79</v>
      </c>
      <c r="E15" s="78" t="s">
        <v>80</v>
      </c>
      <c r="F15" s="78" t="s">
        <v>88</v>
      </c>
      <c r="G15" s="76" t="s">
        <v>82</v>
      </c>
      <c r="H15" s="77">
        <v>2.0</v>
      </c>
    </row>
    <row r="16" ht="15.75" customHeight="1">
      <c r="B16" s="6">
        <v>8.0</v>
      </c>
      <c r="C16" s="74" t="s">
        <v>78</v>
      </c>
      <c r="D16" s="78" t="s">
        <v>89</v>
      </c>
      <c r="E16" s="78" t="s">
        <v>90</v>
      </c>
      <c r="F16" s="78" t="s">
        <v>91</v>
      </c>
      <c r="G16" s="76" t="s">
        <v>82</v>
      </c>
      <c r="H16" s="77">
        <v>2.0</v>
      </c>
    </row>
    <row r="17" ht="15.75" customHeight="1">
      <c r="B17" s="6">
        <v>9.0</v>
      </c>
      <c r="C17" s="74" t="s">
        <v>78</v>
      </c>
      <c r="D17" s="78" t="s">
        <v>89</v>
      </c>
      <c r="E17" s="78" t="s">
        <v>90</v>
      </c>
      <c r="F17" s="78" t="s">
        <v>92</v>
      </c>
      <c r="G17" s="76" t="s">
        <v>82</v>
      </c>
      <c r="H17" s="77">
        <v>2.0</v>
      </c>
    </row>
    <row r="18" ht="15.75" customHeight="1">
      <c r="B18" s="6">
        <v>10.0</v>
      </c>
      <c r="C18" s="74" t="s">
        <v>78</v>
      </c>
      <c r="D18" s="78" t="s">
        <v>89</v>
      </c>
      <c r="E18" s="78" t="s">
        <v>90</v>
      </c>
      <c r="F18" s="78" t="s">
        <v>93</v>
      </c>
      <c r="G18" s="76" t="s">
        <v>82</v>
      </c>
      <c r="H18" s="79">
        <v>3.0</v>
      </c>
    </row>
    <row r="19" ht="15.75" customHeight="1">
      <c r="B19" s="6">
        <v>11.0</v>
      </c>
      <c r="C19" s="74" t="s">
        <v>78</v>
      </c>
      <c r="D19" s="78" t="s">
        <v>89</v>
      </c>
      <c r="E19" s="78" t="s">
        <v>90</v>
      </c>
      <c r="F19" s="78" t="s">
        <v>94</v>
      </c>
      <c r="G19" s="76" t="s">
        <v>82</v>
      </c>
      <c r="H19" s="79">
        <v>3.0</v>
      </c>
    </row>
    <row r="20" ht="15.75" customHeight="1">
      <c r="B20" s="6">
        <v>12.0</v>
      </c>
      <c r="C20" s="74" t="s">
        <v>78</v>
      </c>
      <c r="D20" s="78" t="s">
        <v>89</v>
      </c>
      <c r="E20" s="78" t="s">
        <v>90</v>
      </c>
      <c r="F20" s="78" t="s">
        <v>95</v>
      </c>
      <c r="G20" s="76" t="s">
        <v>82</v>
      </c>
      <c r="H20" s="79">
        <v>3.0</v>
      </c>
    </row>
    <row r="21" ht="15.75" customHeight="1">
      <c r="B21" s="6">
        <v>13.0</v>
      </c>
      <c r="C21" s="74" t="s">
        <v>78</v>
      </c>
      <c r="D21" s="78" t="s">
        <v>89</v>
      </c>
      <c r="E21" s="78" t="s">
        <v>90</v>
      </c>
      <c r="F21" s="78" t="s">
        <v>96</v>
      </c>
      <c r="G21" s="76" t="s">
        <v>82</v>
      </c>
      <c r="H21" s="79">
        <v>3.0</v>
      </c>
    </row>
    <row r="22" ht="15.75" customHeight="1">
      <c r="B22" s="6">
        <v>14.0</v>
      </c>
      <c r="C22" s="74" t="s">
        <v>78</v>
      </c>
      <c r="D22" s="78" t="s">
        <v>89</v>
      </c>
      <c r="E22" s="78" t="s">
        <v>90</v>
      </c>
      <c r="F22" s="78" t="s">
        <v>97</v>
      </c>
      <c r="G22" s="76" t="s">
        <v>82</v>
      </c>
      <c r="H22" s="79">
        <v>3.0</v>
      </c>
    </row>
    <row r="23" ht="15.75" customHeight="1">
      <c r="B23" s="6">
        <v>15.0</v>
      </c>
      <c r="C23" s="80" t="s">
        <v>98</v>
      </c>
      <c r="D23" s="78" t="s">
        <v>89</v>
      </c>
      <c r="E23" s="78" t="s">
        <v>99</v>
      </c>
      <c r="F23" s="78" t="s">
        <v>100</v>
      </c>
      <c r="G23" s="76" t="s">
        <v>82</v>
      </c>
      <c r="H23" s="79">
        <v>3.0</v>
      </c>
    </row>
    <row r="24" ht="15.75" customHeight="1">
      <c r="B24" s="6">
        <v>16.0</v>
      </c>
      <c r="C24" s="80" t="s">
        <v>98</v>
      </c>
      <c r="D24" s="78" t="s">
        <v>89</v>
      </c>
      <c r="E24" s="78" t="s">
        <v>99</v>
      </c>
      <c r="F24" s="78" t="s">
        <v>101</v>
      </c>
      <c r="G24" s="76" t="s">
        <v>82</v>
      </c>
      <c r="H24" s="79">
        <v>3.0</v>
      </c>
    </row>
    <row r="25" ht="15.75" customHeight="1">
      <c r="B25" s="6">
        <v>17.0</v>
      </c>
      <c r="C25" s="80" t="s">
        <v>98</v>
      </c>
      <c r="D25" s="78" t="s">
        <v>89</v>
      </c>
      <c r="E25" s="78" t="s">
        <v>99</v>
      </c>
      <c r="F25" s="78" t="s">
        <v>102</v>
      </c>
      <c r="G25" s="76" t="s">
        <v>82</v>
      </c>
      <c r="H25" s="79">
        <v>3.0</v>
      </c>
    </row>
    <row r="26" ht="15.75" customHeight="1">
      <c r="B26" s="6">
        <v>18.0</v>
      </c>
      <c r="C26" s="80" t="s">
        <v>98</v>
      </c>
      <c r="D26" s="78" t="s">
        <v>89</v>
      </c>
      <c r="E26" s="78" t="s">
        <v>99</v>
      </c>
      <c r="F26" s="78" t="s">
        <v>103</v>
      </c>
      <c r="G26" s="76" t="s">
        <v>82</v>
      </c>
      <c r="H26" s="79">
        <v>3.0</v>
      </c>
    </row>
    <row r="27" ht="15.75" customHeight="1">
      <c r="B27" s="6">
        <v>19.0</v>
      </c>
      <c r="C27" s="80" t="s">
        <v>98</v>
      </c>
      <c r="D27" s="78" t="s">
        <v>89</v>
      </c>
      <c r="E27" s="78" t="s">
        <v>99</v>
      </c>
      <c r="F27" s="78" t="s">
        <v>104</v>
      </c>
      <c r="G27" s="76" t="s">
        <v>82</v>
      </c>
      <c r="H27" s="79">
        <v>4.0</v>
      </c>
    </row>
    <row r="28" ht="15.75" customHeight="1">
      <c r="B28" s="6">
        <v>20.0</v>
      </c>
      <c r="C28" s="80" t="s">
        <v>98</v>
      </c>
      <c r="D28" s="78" t="s">
        <v>89</v>
      </c>
      <c r="E28" s="78" t="s">
        <v>99</v>
      </c>
      <c r="F28" s="78" t="s">
        <v>105</v>
      </c>
      <c r="G28" s="76" t="s">
        <v>82</v>
      </c>
      <c r="H28" s="79">
        <v>4.0</v>
      </c>
    </row>
    <row r="29" ht="15.75" customHeight="1">
      <c r="B29" s="6">
        <v>21.0</v>
      </c>
      <c r="C29" s="80" t="s">
        <v>98</v>
      </c>
      <c r="D29" s="78" t="s">
        <v>89</v>
      </c>
      <c r="E29" s="78" t="s">
        <v>99</v>
      </c>
      <c r="F29" s="78" t="s">
        <v>106</v>
      </c>
      <c r="G29" s="76" t="s">
        <v>82</v>
      </c>
      <c r="H29" s="79">
        <v>4.0</v>
      </c>
    </row>
    <row r="30" ht="15.75" customHeight="1">
      <c r="B30" s="6">
        <v>22.0</v>
      </c>
      <c r="C30" s="80" t="s">
        <v>98</v>
      </c>
      <c r="D30" s="78" t="s">
        <v>89</v>
      </c>
      <c r="E30" s="78" t="s">
        <v>107</v>
      </c>
      <c r="F30" s="78" t="s">
        <v>108</v>
      </c>
      <c r="G30" s="76" t="s">
        <v>82</v>
      </c>
      <c r="H30" s="79">
        <v>4.0</v>
      </c>
    </row>
    <row r="31" ht="15.75" customHeight="1">
      <c r="B31" s="6">
        <v>23.0</v>
      </c>
      <c r="C31" s="80" t="s">
        <v>98</v>
      </c>
      <c r="D31" s="78" t="s">
        <v>89</v>
      </c>
      <c r="E31" s="78" t="s">
        <v>107</v>
      </c>
      <c r="F31" s="78" t="s">
        <v>109</v>
      </c>
      <c r="G31" s="76" t="s">
        <v>82</v>
      </c>
      <c r="H31" s="79">
        <v>4.0</v>
      </c>
    </row>
    <row r="32" ht="15.75" customHeight="1">
      <c r="B32" s="6">
        <v>24.0</v>
      </c>
      <c r="C32" s="80" t="s">
        <v>98</v>
      </c>
      <c r="D32" s="78" t="s">
        <v>89</v>
      </c>
      <c r="E32" s="78" t="s">
        <v>107</v>
      </c>
      <c r="F32" s="78" t="s">
        <v>110</v>
      </c>
      <c r="G32" s="76" t="s">
        <v>82</v>
      </c>
      <c r="H32" s="79">
        <v>4.0</v>
      </c>
    </row>
    <row r="33" ht="15.75" customHeight="1">
      <c r="B33" s="6">
        <v>25.0</v>
      </c>
      <c r="C33" s="80" t="s">
        <v>98</v>
      </c>
      <c r="D33" s="78" t="s">
        <v>89</v>
      </c>
      <c r="E33" s="78" t="s">
        <v>107</v>
      </c>
      <c r="F33" s="78" t="s">
        <v>111</v>
      </c>
      <c r="G33" s="76" t="s">
        <v>82</v>
      </c>
      <c r="H33" s="79">
        <v>4.0</v>
      </c>
    </row>
    <row r="34" ht="15.75" customHeight="1">
      <c r="B34" s="6">
        <v>26.0</v>
      </c>
      <c r="C34" s="80" t="s">
        <v>98</v>
      </c>
      <c r="D34" s="78" t="s">
        <v>89</v>
      </c>
      <c r="E34" s="78" t="s">
        <v>107</v>
      </c>
      <c r="F34" s="78" t="s">
        <v>112</v>
      </c>
      <c r="G34" s="76" t="s">
        <v>82</v>
      </c>
      <c r="H34" s="79">
        <v>4.0</v>
      </c>
    </row>
    <row r="35" ht="15.75" customHeight="1">
      <c r="B35" s="6">
        <v>27.0</v>
      </c>
      <c r="C35" s="80" t="s">
        <v>98</v>
      </c>
      <c r="D35" s="78" t="s">
        <v>89</v>
      </c>
      <c r="E35" s="78" t="s">
        <v>107</v>
      </c>
      <c r="F35" s="78" t="s">
        <v>113</v>
      </c>
      <c r="G35" s="76" t="s">
        <v>82</v>
      </c>
      <c r="H35" s="79">
        <v>4.0</v>
      </c>
    </row>
    <row r="36" ht="15.75" customHeight="1">
      <c r="B36" s="6">
        <v>28.0</v>
      </c>
      <c r="C36" s="80" t="s">
        <v>98</v>
      </c>
      <c r="D36" s="78" t="s">
        <v>89</v>
      </c>
      <c r="E36" s="78" t="s">
        <v>107</v>
      </c>
      <c r="F36" s="78" t="s">
        <v>114</v>
      </c>
      <c r="G36" s="76" t="s">
        <v>82</v>
      </c>
      <c r="H36" s="79">
        <v>5.0</v>
      </c>
    </row>
    <row r="37" ht="15.75" customHeight="1">
      <c r="B37" s="6">
        <v>29.0</v>
      </c>
      <c r="C37" s="80" t="s">
        <v>98</v>
      </c>
      <c r="D37" s="78" t="s">
        <v>115</v>
      </c>
      <c r="E37" s="78" t="s">
        <v>116</v>
      </c>
      <c r="F37" s="78" t="s">
        <v>117</v>
      </c>
      <c r="G37" s="76" t="s">
        <v>82</v>
      </c>
      <c r="H37" s="79">
        <v>5.0</v>
      </c>
    </row>
    <row r="38" ht="15.75" customHeight="1">
      <c r="B38" s="6">
        <v>30.0</v>
      </c>
      <c r="C38" s="80" t="s">
        <v>98</v>
      </c>
      <c r="D38" s="78" t="s">
        <v>115</v>
      </c>
      <c r="E38" s="78" t="s">
        <v>116</v>
      </c>
      <c r="F38" s="78" t="s">
        <v>118</v>
      </c>
      <c r="G38" s="76" t="s">
        <v>119</v>
      </c>
      <c r="H38" s="79">
        <v>5.0</v>
      </c>
    </row>
    <row r="39" ht="15.75" customHeight="1">
      <c r="B39" s="6">
        <v>31.0</v>
      </c>
      <c r="C39" s="80" t="s">
        <v>98</v>
      </c>
      <c r="D39" s="78" t="s">
        <v>115</v>
      </c>
      <c r="E39" s="78" t="s">
        <v>116</v>
      </c>
      <c r="F39" s="78" t="s">
        <v>120</v>
      </c>
      <c r="G39" s="76" t="s">
        <v>119</v>
      </c>
      <c r="H39" s="79">
        <v>5.0</v>
      </c>
    </row>
    <row r="40" ht="15.75" customHeight="1">
      <c r="B40" s="6">
        <v>32.0</v>
      </c>
      <c r="C40" s="80" t="s">
        <v>98</v>
      </c>
      <c r="D40" s="78" t="s">
        <v>115</v>
      </c>
      <c r="E40" s="81" t="s">
        <v>116</v>
      </c>
      <c r="F40" s="78" t="s">
        <v>121</v>
      </c>
      <c r="G40" s="76" t="s">
        <v>119</v>
      </c>
      <c r="H40" s="79">
        <v>5.0</v>
      </c>
    </row>
    <row r="41" ht="15.75" customHeight="1">
      <c r="B41" s="6">
        <v>33.0</v>
      </c>
      <c r="C41" s="80" t="s">
        <v>98</v>
      </c>
      <c r="D41" s="78" t="s">
        <v>115</v>
      </c>
      <c r="E41" s="81" t="s">
        <v>116</v>
      </c>
      <c r="F41" s="78" t="s">
        <v>122</v>
      </c>
      <c r="G41" s="76" t="s">
        <v>119</v>
      </c>
      <c r="H41" s="79">
        <v>5.0</v>
      </c>
    </row>
    <row r="42" ht="15.75" customHeight="1">
      <c r="B42" s="6">
        <v>34.0</v>
      </c>
      <c r="C42" s="80" t="s">
        <v>98</v>
      </c>
      <c r="D42" s="78" t="s">
        <v>115</v>
      </c>
      <c r="E42" s="81" t="s">
        <v>116</v>
      </c>
      <c r="F42" s="78" t="s">
        <v>123</v>
      </c>
      <c r="G42" s="76" t="s">
        <v>119</v>
      </c>
      <c r="H42" s="79">
        <v>5.0</v>
      </c>
    </row>
    <row r="43" ht="15.75" customHeight="1">
      <c r="B43" s="6">
        <v>35.0</v>
      </c>
      <c r="C43" s="80" t="s">
        <v>98</v>
      </c>
      <c r="D43" s="78" t="s">
        <v>115</v>
      </c>
      <c r="E43" s="81" t="s">
        <v>116</v>
      </c>
      <c r="F43" s="78" t="s">
        <v>124</v>
      </c>
      <c r="G43" s="76" t="s">
        <v>119</v>
      </c>
      <c r="H43" s="79">
        <v>5.0</v>
      </c>
    </row>
    <row r="44" ht="15.75" customHeight="1">
      <c r="B44" s="6">
        <v>36.0</v>
      </c>
      <c r="C44" s="74" t="s">
        <v>125</v>
      </c>
      <c r="D44" s="78" t="s">
        <v>115</v>
      </c>
      <c r="E44" s="81" t="s">
        <v>126</v>
      </c>
      <c r="F44" s="78" t="s">
        <v>127</v>
      </c>
      <c r="G44" s="76" t="s">
        <v>119</v>
      </c>
      <c r="H44" s="79">
        <v>5.0</v>
      </c>
    </row>
    <row r="45" ht="15.75" customHeight="1">
      <c r="B45" s="6">
        <v>37.0</v>
      </c>
      <c r="C45" s="74" t="s">
        <v>125</v>
      </c>
      <c r="D45" s="78" t="s">
        <v>115</v>
      </c>
      <c r="E45" s="81" t="s">
        <v>126</v>
      </c>
      <c r="F45" s="78" t="s">
        <v>128</v>
      </c>
      <c r="G45" s="76" t="s">
        <v>119</v>
      </c>
      <c r="H45" s="79">
        <v>6.0</v>
      </c>
    </row>
    <row r="46" ht="15.75" customHeight="1">
      <c r="B46" s="6">
        <v>38.0</v>
      </c>
      <c r="C46" s="74" t="s">
        <v>125</v>
      </c>
      <c r="D46" s="78" t="s">
        <v>115</v>
      </c>
      <c r="E46" s="81" t="s">
        <v>126</v>
      </c>
      <c r="F46" s="78" t="s">
        <v>129</v>
      </c>
      <c r="G46" s="76" t="s">
        <v>119</v>
      </c>
      <c r="H46" s="79">
        <v>6.0</v>
      </c>
    </row>
    <row r="47" ht="15.75" customHeight="1">
      <c r="B47" s="6">
        <v>39.0</v>
      </c>
      <c r="C47" s="74" t="s">
        <v>125</v>
      </c>
      <c r="D47" s="78" t="s">
        <v>115</v>
      </c>
      <c r="E47" s="78" t="s">
        <v>126</v>
      </c>
      <c r="F47" s="78" t="s">
        <v>130</v>
      </c>
      <c r="G47" s="76" t="s">
        <v>119</v>
      </c>
      <c r="H47" s="79">
        <v>6.0</v>
      </c>
    </row>
    <row r="48" ht="15.75" customHeight="1">
      <c r="B48" s="6">
        <v>40.0</v>
      </c>
      <c r="C48" s="74" t="s">
        <v>125</v>
      </c>
      <c r="D48" s="78" t="s">
        <v>115</v>
      </c>
      <c r="E48" s="78" t="s">
        <v>126</v>
      </c>
      <c r="F48" s="78" t="s">
        <v>131</v>
      </c>
      <c r="G48" s="76" t="s">
        <v>119</v>
      </c>
      <c r="H48" s="79">
        <v>6.0</v>
      </c>
    </row>
    <row r="49" ht="15.75" customHeight="1">
      <c r="B49" s="6">
        <v>41.0</v>
      </c>
      <c r="C49" s="74" t="s">
        <v>125</v>
      </c>
      <c r="D49" s="78" t="s">
        <v>115</v>
      </c>
      <c r="E49" s="78" t="s">
        <v>126</v>
      </c>
      <c r="F49" s="78" t="s">
        <v>132</v>
      </c>
      <c r="G49" s="76" t="s">
        <v>119</v>
      </c>
      <c r="H49" s="79">
        <v>6.0</v>
      </c>
    </row>
    <row r="50" ht="15.75" customHeight="1">
      <c r="B50" s="6">
        <v>42.0</v>
      </c>
      <c r="C50" s="74" t="s">
        <v>125</v>
      </c>
      <c r="D50" s="78" t="s">
        <v>115</v>
      </c>
      <c r="E50" s="78" t="s">
        <v>126</v>
      </c>
      <c r="F50" s="78" t="s">
        <v>133</v>
      </c>
      <c r="G50" s="76" t="s">
        <v>119</v>
      </c>
      <c r="H50" s="79">
        <v>6.0</v>
      </c>
    </row>
    <row r="51" ht="15.75" customHeight="1">
      <c r="B51" s="6">
        <v>43.0</v>
      </c>
      <c r="C51" s="74" t="s">
        <v>78</v>
      </c>
      <c r="D51" s="78" t="s">
        <v>115</v>
      </c>
      <c r="E51" s="78" t="s">
        <v>134</v>
      </c>
      <c r="F51" s="78" t="s">
        <v>135</v>
      </c>
      <c r="G51" s="76" t="s">
        <v>119</v>
      </c>
      <c r="H51" s="79">
        <v>6.0</v>
      </c>
    </row>
    <row r="52" ht="15.75" customHeight="1">
      <c r="B52" s="6">
        <v>44.0</v>
      </c>
      <c r="C52" s="74" t="s">
        <v>78</v>
      </c>
      <c r="D52" s="78" t="s">
        <v>115</v>
      </c>
      <c r="E52" s="78" t="s">
        <v>134</v>
      </c>
      <c r="F52" s="78" t="s">
        <v>136</v>
      </c>
      <c r="G52" s="76" t="s">
        <v>119</v>
      </c>
      <c r="H52" s="79">
        <v>6.0</v>
      </c>
    </row>
    <row r="53" ht="15.75" customHeight="1">
      <c r="B53" s="6">
        <v>45.0</v>
      </c>
      <c r="C53" s="74" t="s">
        <v>78</v>
      </c>
      <c r="D53" s="78" t="s">
        <v>115</v>
      </c>
      <c r="E53" s="78" t="s">
        <v>134</v>
      </c>
      <c r="F53" s="78" t="s">
        <v>137</v>
      </c>
      <c r="G53" s="76" t="s">
        <v>119</v>
      </c>
      <c r="H53" s="79">
        <v>6.0</v>
      </c>
    </row>
    <row r="54" ht="15.75" customHeight="1">
      <c r="B54" s="6">
        <v>46.0</v>
      </c>
      <c r="C54" s="74" t="s">
        <v>78</v>
      </c>
      <c r="D54" s="78" t="s">
        <v>115</v>
      </c>
      <c r="E54" s="78" t="s">
        <v>134</v>
      </c>
      <c r="F54" s="78" t="s">
        <v>138</v>
      </c>
      <c r="G54" s="76" t="s">
        <v>119</v>
      </c>
      <c r="H54" s="79">
        <v>6.0</v>
      </c>
    </row>
    <row r="55" ht="15.75" customHeight="1">
      <c r="B55" s="6">
        <v>47.0</v>
      </c>
      <c r="C55" s="74" t="s">
        <v>78</v>
      </c>
      <c r="D55" s="78" t="s">
        <v>115</v>
      </c>
      <c r="E55" s="78" t="s">
        <v>134</v>
      </c>
      <c r="F55" s="78" t="s">
        <v>139</v>
      </c>
      <c r="G55" s="76" t="s">
        <v>119</v>
      </c>
      <c r="H55" s="79">
        <v>7.0</v>
      </c>
    </row>
    <row r="56" ht="15.75" customHeight="1">
      <c r="B56" s="6">
        <v>48.0</v>
      </c>
      <c r="C56" s="74" t="s">
        <v>78</v>
      </c>
      <c r="D56" s="78" t="s">
        <v>115</v>
      </c>
      <c r="E56" s="78" t="s">
        <v>134</v>
      </c>
      <c r="F56" s="78" t="s">
        <v>140</v>
      </c>
      <c r="G56" s="76" t="s">
        <v>119</v>
      </c>
      <c r="H56" s="79">
        <v>7.0</v>
      </c>
    </row>
    <row r="57" ht="15.75" customHeight="1">
      <c r="B57" s="6">
        <v>49.0</v>
      </c>
      <c r="C57" s="74" t="s">
        <v>78</v>
      </c>
      <c r="D57" s="78" t="s">
        <v>115</v>
      </c>
      <c r="E57" s="78" t="s">
        <v>134</v>
      </c>
      <c r="F57" s="78" t="s">
        <v>141</v>
      </c>
      <c r="G57" s="76" t="s">
        <v>119</v>
      </c>
      <c r="H57" s="79">
        <v>7.0</v>
      </c>
    </row>
    <row r="58" ht="15.75" customHeight="1">
      <c r="B58" s="6">
        <v>50.0</v>
      </c>
      <c r="C58" s="80" t="s">
        <v>98</v>
      </c>
      <c r="D58" s="78" t="s">
        <v>115</v>
      </c>
      <c r="E58" s="78" t="s">
        <v>142</v>
      </c>
      <c r="F58" s="78" t="s">
        <v>143</v>
      </c>
      <c r="G58" s="76" t="s">
        <v>119</v>
      </c>
      <c r="H58" s="79">
        <v>7.0</v>
      </c>
    </row>
    <row r="59" ht="15.75" customHeight="1">
      <c r="B59" s="6">
        <v>51.0</v>
      </c>
      <c r="C59" s="80" t="s">
        <v>98</v>
      </c>
      <c r="D59" s="78" t="s">
        <v>115</v>
      </c>
      <c r="E59" s="78" t="s">
        <v>142</v>
      </c>
      <c r="F59" s="78" t="s">
        <v>144</v>
      </c>
      <c r="G59" s="76" t="s">
        <v>119</v>
      </c>
      <c r="H59" s="79">
        <v>7.0</v>
      </c>
    </row>
    <row r="60" ht="15.75" customHeight="1">
      <c r="B60" s="6">
        <v>52.0</v>
      </c>
      <c r="C60" s="80" t="s">
        <v>98</v>
      </c>
      <c r="D60" s="78" t="s">
        <v>115</v>
      </c>
      <c r="E60" s="78" t="s">
        <v>142</v>
      </c>
      <c r="F60" s="78" t="s">
        <v>145</v>
      </c>
      <c r="G60" s="76" t="s">
        <v>119</v>
      </c>
      <c r="H60" s="79">
        <v>7.0</v>
      </c>
    </row>
    <row r="61" ht="15.75" customHeight="1">
      <c r="B61" s="6">
        <v>53.0</v>
      </c>
      <c r="C61" s="80" t="s">
        <v>98</v>
      </c>
      <c r="D61" s="78" t="s">
        <v>115</v>
      </c>
      <c r="E61" s="78" t="s">
        <v>142</v>
      </c>
      <c r="F61" s="78" t="s">
        <v>146</v>
      </c>
      <c r="G61" s="76" t="s">
        <v>119</v>
      </c>
      <c r="H61" s="79">
        <v>7.0</v>
      </c>
    </row>
    <row r="62" ht="15.75" customHeight="1">
      <c r="B62" s="6">
        <v>54.0</v>
      </c>
      <c r="C62" s="80" t="s">
        <v>98</v>
      </c>
      <c r="D62" s="78" t="s">
        <v>115</v>
      </c>
      <c r="E62" s="78" t="s">
        <v>142</v>
      </c>
      <c r="F62" s="78" t="s">
        <v>147</v>
      </c>
      <c r="G62" s="76" t="s">
        <v>119</v>
      </c>
      <c r="H62" s="79">
        <v>7.0</v>
      </c>
    </row>
    <row r="63" ht="15.75" customHeight="1">
      <c r="B63" s="6">
        <v>55.0</v>
      </c>
      <c r="C63" s="80" t="s">
        <v>98</v>
      </c>
      <c r="D63" s="78" t="s">
        <v>115</v>
      </c>
      <c r="E63" s="78" t="s">
        <v>142</v>
      </c>
      <c r="F63" s="78" t="s">
        <v>148</v>
      </c>
      <c r="G63" s="76" t="s">
        <v>119</v>
      </c>
      <c r="H63" s="79">
        <v>7.0</v>
      </c>
    </row>
    <row r="64" ht="15.75" customHeight="1">
      <c r="B64" s="6">
        <v>56.0</v>
      </c>
      <c r="C64" s="80" t="s">
        <v>98</v>
      </c>
      <c r="D64" s="78" t="s">
        <v>115</v>
      </c>
      <c r="E64" s="78" t="s">
        <v>142</v>
      </c>
      <c r="F64" s="78" t="s">
        <v>149</v>
      </c>
      <c r="G64" s="76" t="s">
        <v>119</v>
      </c>
      <c r="H64" s="79">
        <v>8.0</v>
      </c>
    </row>
    <row r="65" ht="15.75" customHeight="1">
      <c r="B65" s="6">
        <v>57.0</v>
      </c>
      <c r="C65" s="74" t="s">
        <v>125</v>
      </c>
      <c r="D65" s="78" t="s">
        <v>150</v>
      </c>
      <c r="E65" s="78" t="s">
        <v>151</v>
      </c>
      <c r="F65" s="78" t="s">
        <v>152</v>
      </c>
      <c r="G65" s="76" t="s">
        <v>119</v>
      </c>
      <c r="H65" s="79">
        <v>8.0</v>
      </c>
    </row>
    <row r="66" ht="15.75" customHeight="1">
      <c r="B66" s="6">
        <v>58.0</v>
      </c>
      <c r="C66" s="74" t="s">
        <v>125</v>
      </c>
      <c r="D66" s="78" t="s">
        <v>150</v>
      </c>
      <c r="E66" s="78" t="s">
        <v>151</v>
      </c>
      <c r="F66" s="78" t="s">
        <v>153</v>
      </c>
      <c r="G66" s="76" t="s">
        <v>119</v>
      </c>
      <c r="H66" s="79">
        <v>8.0</v>
      </c>
    </row>
    <row r="67" ht="15.75" customHeight="1">
      <c r="B67" s="6">
        <v>59.0</v>
      </c>
      <c r="C67" s="74" t="s">
        <v>125</v>
      </c>
      <c r="D67" s="78" t="s">
        <v>150</v>
      </c>
      <c r="E67" s="78" t="s">
        <v>151</v>
      </c>
      <c r="F67" s="78" t="s">
        <v>154</v>
      </c>
      <c r="G67" s="76" t="s">
        <v>155</v>
      </c>
      <c r="H67" s="79">
        <v>8.0</v>
      </c>
    </row>
    <row r="68" ht="15.75" customHeight="1">
      <c r="B68" s="6">
        <v>60.0</v>
      </c>
      <c r="C68" s="74" t="s">
        <v>125</v>
      </c>
      <c r="D68" s="78" t="s">
        <v>150</v>
      </c>
      <c r="E68" s="78" t="s">
        <v>151</v>
      </c>
      <c r="F68" s="78" t="s">
        <v>156</v>
      </c>
      <c r="G68" s="76" t="s">
        <v>155</v>
      </c>
      <c r="H68" s="79">
        <v>8.0</v>
      </c>
    </row>
    <row r="69" ht="15.75" customHeight="1">
      <c r="B69" s="6">
        <v>61.0</v>
      </c>
      <c r="C69" s="74" t="s">
        <v>125</v>
      </c>
      <c r="D69" s="78" t="s">
        <v>150</v>
      </c>
      <c r="E69" s="78" t="s">
        <v>151</v>
      </c>
      <c r="F69" s="78" t="s">
        <v>157</v>
      </c>
      <c r="G69" s="76" t="s">
        <v>155</v>
      </c>
      <c r="H69" s="79">
        <v>8.0</v>
      </c>
    </row>
    <row r="70" ht="15.75" customHeight="1">
      <c r="B70" s="6">
        <v>62.0</v>
      </c>
      <c r="C70" s="74" t="s">
        <v>125</v>
      </c>
      <c r="D70" s="78" t="s">
        <v>150</v>
      </c>
      <c r="E70" s="78" t="s">
        <v>151</v>
      </c>
      <c r="F70" s="78" t="s">
        <v>158</v>
      </c>
      <c r="G70" s="76" t="s">
        <v>155</v>
      </c>
      <c r="H70" s="79">
        <v>8.0</v>
      </c>
    </row>
    <row r="71" ht="15.75" customHeight="1">
      <c r="B71" s="6">
        <v>63.0</v>
      </c>
      <c r="C71" s="74" t="s">
        <v>125</v>
      </c>
      <c r="D71" s="78" t="s">
        <v>150</v>
      </c>
      <c r="E71" s="78" t="s">
        <v>151</v>
      </c>
      <c r="F71" s="78" t="s">
        <v>159</v>
      </c>
      <c r="G71" s="76" t="s">
        <v>155</v>
      </c>
      <c r="H71" s="79">
        <v>8.0</v>
      </c>
    </row>
    <row r="72" ht="15.75" customHeight="1">
      <c r="B72" s="6">
        <v>64.0</v>
      </c>
      <c r="C72" s="74" t="s">
        <v>125</v>
      </c>
      <c r="D72" s="78" t="s">
        <v>150</v>
      </c>
      <c r="E72" s="78" t="s">
        <v>160</v>
      </c>
      <c r="F72" s="78" t="s">
        <v>161</v>
      </c>
      <c r="G72" s="76" t="s">
        <v>155</v>
      </c>
      <c r="H72" s="79">
        <v>8.0</v>
      </c>
    </row>
    <row r="73" ht="15.75" customHeight="1">
      <c r="B73" s="6">
        <v>65.0</v>
      </c>
      <c r="C73" s="74" t="s">
        <v>125</v>
      </c>
      <c r="D73" s="78" t="s">
        <v>150</v>
      </c>
      <c r="E73" s="78" t="s">
        <v>160</v>
      </c>
      <c r="F73" s="78" t="s">
        <v>162</v>
      </c>
      <c r="G73" s="76" t="s">
        <v>155</v>
      </c>
      <c r="H73" s="79">
        <v>9.0</v>
      </c>
    </row>
    <row r="74" ht="15.75" customHeight="1">
      <c r="B74" s="6">
        <v>66.0</v>
      </c>
      <c r="C74" s="74" t="s">
        <v>125</v>
      </c>
      <c r="D74" s="78" t="s">
        <v>150</v>
      </c>
      <c r="E74" s="78" t="s">
        <v>160</v>
      </c>
      <c r="F74" s="78" t="s">
        <v>163</v>
      </c>
      <c r="G74" s="76" t="s">
        <v>155</v>
      </c>
      <c r="H74" s="79">
        <v>9.0</v>
      </c>
    </row>
    <row r="75" ht="15.75" customHeight="1">
      <c r="B75" s="6">
        <v>67.0</v>
      </c>
      <c r="C75" s="74" t="s">
        <v>125</v>
      </c>
      <c r="D75" s="78" t="s">
        <v>150</v>
      </c>
      <c r="E75" s="78" t="s">
        <v>160</v>
      </c>
      <c r="F75" s="78" t="s">
        <v>164</v>
      </c>
      <c r="G75" s="76" t="s">
        <v>155</v>
      </c>
      <c r="H75" s="79">
        <v>9.0</v>
      </c>
    </row>
    <row r="76" ht="15.75" customHeight="1">
      <c r="B76" s="6">
        <v>68.0</v>
      </c>
      <c r="C76" s="74" t="s">
        <v>125</v>
      </c>
      <c r="D76" s="78" t="s">
        <v>150</v>
      </c>
      <c r="E76" s="78" t="s">
        <v>160</v>
      </c>
      <c r="F76" s="78" t="s">
        <v>165</v>
      </c>
      <c r="G76" s="76" t="s">
        <v>155</v>
      </c>
      <c r="H76" s="79">
        <v>9.0</v>
      </c>
    </row>
    <row r="77" ht="15.75" customHeight="1">
      <c r="B77" s="6">
        <v>69.0</v>
      </c>
      <c r="C77" s="74" t="s">
        <v>125</v>
      </c>
      <c r="D77" s="78" t="s">
        <v>150</v>
      </c>
      <c r="E77" s="78" t="s">
        <v>160</v>
      </c>
      <c r="F77" s="78" t="s">
        <v>166</v>
      </c>
      <c r="G77" s="76" t="s">
        <v>155</v>
      </c>
      <c r="H77" s="79">
        <v>9.0</v>
      </c>
    </row>
    <row r="78" ht="15.75" customHeight="1">
      <c r="B78" s="6">
        <v>70.0</v>
      </c>
      <c r="C78" s="74" t="s">
        <v>125</v>
      </c>
      <c r="D78" s="78" t="s">
        <v>150</v>
      </c>
      <c r="E78" s="78" t="s">
        <v>160</v>
      </c>
      <c r="F78" s="78" t="s">
        <v>167</v>
      </c>
      <c r="G78" s="76" t="s">
        <v>155</v>
      </c>
      <c r="H78" s="79">
        <v>9.0</v>
      </c>
    </row>
    <row r="79" ht="15.75" customHeight="1">
      <c r="B79" s="6">
        <v>71.0</v>
      </c>
      <c r="C79" s="74" t="s">
        <v>125</v>
      </c>
      <c r="D79" s="78" t="s">
        <v>150</v>
      </c>
      <c r="E79" s="78" t="s">
        <v>168</v>
      </c>
      <c r="F79" s="78" t="s">
        <v>169</v>
      </c>
      <c r="G79" s="76" t="s">
        <v>155</v>
      </c>
      <c r="H79" s="79">
        <v>9.0</v>
      </c>
    </row>
    <row r="80" ht="15.75" customHeight="1">
      <c r="B80" s="6">
        <v>72.0</v>
      </c>
      <c r="C80" s="74" t="s">
        <v>170</v>
      </c>
      <c r="D80" s="78" t="s">
        <v>150</v>
      </c>
      <c r="E80" s="78" t="s">
        <v>168</v>
      </c>
      <c r="F80" s="78" t="s">
        <v>171</v>
      </c>
      <c r="G80" s="76" t="s">
        <v>155</v>
      </c>
      <c r="H80" s="79">
        <v>9.0</v>
      </c>
    </row>
    <row r="81" ht="15.75" customHeight="1">
      <c r="B81" s="6">
        <v>73.0</v>
      </c>
      <c r="C81" s="74" t="s">
        <v>170</v>
      </c>
      <c r="D81" s="78" t="s">
        <v>150</v>
      </c>
      <c r="E81" s="78" t="s">
        <v>168</v>
      </c>
      <c r="F81" s="78" t="s">
        <v>172</v>
      </c>
      <c r="G81" s="76" t="s">
        <v>155</v>
      </c>
      <c r="H81" s="79">
        <v>9.0</v>
      </c>
    </row>
    <row r="82" ht="15.75" customHeight="1">
      <c r="B82" s="6">
        <v>74.0</v>
      </c>
      <c r="C82" s="74" t="s">
        <v>170</v>
      </c>
      <c r="D82" s="78" t="s">
        <v>150</v>
      </c>
      <c r="E82" s="78" t="s">
        <v>168</v>
      </c>
      <c r="F82" s="78" t="s">
        <v>173</v>
      </c>
      <c r="G82" s="76" t="s">
        <v>155</v>
      </c>
      <c r="H82" s="79">
        <v>10.0</v>
      </c>
    </row>
    <row r="83" ht="15.75" customHeight="1">
      <c r="B83" s="6">
        <v>75.0</v>
      </c>
      <c r="C83" s="74" t="s">
        <v>170</v>
      </c>
      <c r="D83" s="78" t="s">
        <v>150</v>
      </c>
      <c r="E83" s="78" t="s">
        <v>168</v>
      </c>
      <c r="F83" s="78" t="s">
        <v>174</v>
      </c>
      <c r="G83" s="76" t="s">
        <v>155</v>
      </c>
      <c r="H83" s="79">
        <v>10.0</v>
      </c>
    </row>
    <row r="84" ht="15.75" customHeight="1">
      <c r="B84" s="6">
        <v>76.0</v>
      </c>
      <c r="C84" s="74" t="s">
        <v>170</v>
      </c>
      <c r="D84" s="78" t="s">
        <v>150</v>
      </c>
      <c r="E84" s="78" t="s">
        <v>168</v>
      </c>
      <c r="F84" s="78" t="s">
        <v>175</v>
      </c>
      <c r="G84" s="76" t="s">
        <v>155</v>
      </c>
      <c r="H84" s="79">
        <v>10.0</v>
      </c>
    </row>
    <row r="85" ht="15.75" customHeight="1">
      <c r="B85" s="6">
        <v>77.0</v>
      </c>
      <c r="C85" s="74" t="s">
        <v>170</v>
      </c>
      <c r="D85" s="78" t="s">
        <v>150</v>
      </c>
      <c r="E85" s="78" t="s">
        <v>168</v>
      </c>
      <c r="F85" s="78" t="s">
        <v>176</v>
      </c>
      <c r="G85" s="76" t="s">
        <v>155</v>
      </c>
      <c r="H85" s="79">
        <v>10.0</v>
      </c>
    </row>
    <row r="86" ht="15.75" customHeight="1">
      <c r="B86" s="6">
        <v>78.0</v>
      </c>
      <c r="C86" s="74" t="s">
        <v>170</v>
      </c>
      <c r="D86" s="78" t="s">
        <v>177</v>
      </c>
      <c r="E86" s="78" t="s">
        <v>178</v>
      </c>
      <c r="F86" s="78" t="s">
        <v>179</v>
      </c>
      <c r="G86" s="76" t="s">
        <v>155</v>
      </c>
      <c r="H86" s="79">
        <v>10.0</v>
      </c>
    </row>
    <row r="87" ht="15.75" customHeight="1">
      <c r="B87" s="6">
        <v>79.0</v>
      </c>
      <c r="C87" s="74" t="s">
        <v>170</v>
      </c>
      <c r="D87" s="78" t="s">
        <v>177</v>
      </c>
      <c r="E87" s="78" t="s">
        <v>178</v>
      </c>
      <c r="F87" s="78" t="s">
        <v>180</v>
      </c>
      <c r="G87" s="76" t="s">
        <v>155</v>
      </c>
      <c r="H87" s="79">
        <v>10.0</v>
      </c>
    </row>
    <row r="88" ht="15.75" customHeight="1">
      <c r="B88" s="6">
        <v>80.0</v>
      </c>
      <c r="C88" s="74" t="s">
        <v>170</v>
      </c>
      <c r="D88" s="78" t="s">
        <v>177</v>
      </c>
      <c r="E88" s="78" t="s">
        <v>178</v>
      </c>
      <c r="F88" s="78" t="s">
        <v>181</v>
      </c>
      <c r="G88" s="76" t="s">
        <v>155</v>
      </c>
      <c r="H88" s="79">
        <v>10.0</v>
      </c>
    </row>
    <row r="89" ht="15.75" customHeight="1">
      <c r="B89" s="6">
        <v>81.0</v>
      </c>
      <c r="C89" s="74" t="s">
        <v>170</v>
      </c>
      <c r="D89" s="78" t="s">
        <v>177</v>
      </c>
      <c r="E89" s="78" t="s">
        <v>178</v>
      </c>
      <c r="F89" s="78" t="s">
        <v>182</v>
      </c>
      <c r="G89" s="76" t="s">
        <v>155</v>
      </c>
      <c r="H89" s="79">
        <v>10.0</v>
      </c>
    </row>
    <row r="90" ht="15.75" customHeight="1">
      <c r="B90" s="6">
        <v>82.0</v>
      </c>
      <c r="C90" s="74" t="s">
        <v>170</v>
      </c>
      <c r="D90" s="78" t="s">
        <v>177</v>
      </c>
      <c r="E90" s="78" t="s">
        <v>178</v>
      </c>
      <c r="F90" s="78" t="s">
        <v>183</v>
      </c>
      <c r="G90" s="76" t="s">
        <v>155</v>
      </c>
      <c r="H90" s="79">
        <v>11.0</v>
      </c>
    </row>
    <row r="91" ht="15.75" customHeight="1">
      <c r="B91" s="6">
        <v>83.0</v>
      </c>
      <c r="C91" s="74" t="s">
        <v>170</v>
      </c>
      <c r="D91" s="78" t="s">
        <v>177</v>
      </c>
      <c r="E91" s="78" t="s">
        <v>178</v>
      </c>
      <c r="F91" s="78" t="s">
        <v>184</v>
      </c>
      <c r="G91" s="76" t="s">
        <v>185</v>
      </c>
      <c r="H91" s="79">
        <v>11.0</v>
      </c>
    </row>
    <row r="92" ht="15.75" customHeight="1">
      <c r="B92" s="6">
        <v>84.0</v>
      </c>
      <c r="C92" s="74" t="s">
        <v>170</v>
      </c>
      <c r="D92" s="78" t="s">
        <v>177</v>
      </c>
      <c r="E92" s="78" t="s">
        <v>186</v>
      </c>
      <c r="F92" s="78" t="s">
        <v>187</v>
      </c>
      <c r="G92" s="76" t="s">
        <v>185</v>
      </c>
      <c r="H92" s="79">
        <v>11.0</v>
      </c>
    </row>
    <row r="93" ht="15.75" customHeight="1">
      <c r="B93" s="6">
        <v>85.0</v>
      </c>
      <c r="C93" s="74" t="s">
        <v>170</v>
      </c>
      <c r="D93" s="78" t="s">
        <v>177</v>
      </c>
      <c r="E93" s="78" t="s">
        <v>186</v>
      </c>
      <c r="F93" s="78" t="s">
        <v>188</v>
      </c>
      <c r="G93" s="76" t="s">
        <v>185</v>
      </c>
      <c r="H93" s="79">
        <v>11.0</v>
      </c>
    </row>
    <row r="94" ht="15.75" customHeight="1">
      <c r="B94" s="6">
        <v>86.0</v>
      </c>
      <c r="C94" s="74" t="s">
        <v>170</v>
      </c>
      <c r="D94" s="78" t="s">
        <v>177</v>
      </c>
      <c r="E94" s="78" t="s">
        <v>186</v>
      </c>
      <c r="F94" s="78" t="s">
        <v>189</v>
      </c>
      <c r="G94" s="76" t="s">
        <v>185</v>
      </c>
      <c r="H94" s="79">
        <v>11.0</v>
      </c>
    </row>
    <row r="95" ht="15.75" customHeight="1">
      <c r="B95" s="6">
        <v>87.0</v>
      </c>
      <c r="C95" s="74" t="s">
        <v>170</v>
      </c>
      <c r="D95" s="78" t="s">
        <v>177</v>
      </c>
      <c r="E95" s="78" t="s">
        <v>186</v>
      </c>
      <c r="F95" s="78" t="s">
        <v>190</v>
      </c>
      <c r="G95" s="76" t="s">
        <v>185</v>
      </c>
      <c r="H95" s="79">
        <v>11.0</v>
      </c>
    </row>
    <row r="96" ht="15.75" customHeight="1">
      <c r="B96" s="6">
        <v>88.0</v>
      </c>
      <c r="C96" s="74" t="s">
        <v>170</v>
      </c>
      <c r="D96" s="78" t="s">
        <v>177</v>
      </c>
      <c r="E96" s="78" t="s">
        <v>186</v>
      </c>
      <c r="F96" s="78" t="s">
        <v>191</v>
      </c>
      <c r="G96" s="76" t="s">
        <v>185</v>
      </c>
      <c r="H96" s="79">
        <v>11.0</v>
      </c>
    </row>
    <row r="97" ht="15.75" customHeight="1">
      <c r="B97" s="6">
        <v>89.0</v>
      </c>
      <c r="C97" s="74" t="s">
        <v>170</v>
      </c>
      <c r="D97" s="78" t="s">
        <v>177</v>
      </c>
      <c r="E97" s="78" t="s">
        <v>186</v>
      </c>
      <c r="F97" s="78" t="s">
        <v>192</v>
      </c>
      <c r="G97" s="76" t="s">
        <v>185</v>
      </c>
      <c r="H97" s="79">
        <v>11.0</v>
      </c>
    </row>
    <row r="98" ht="15.75" customHeight="1">
      <c r="B98" s="6">
        <v>90.0</v>
      </c>
      <c r="C98" s="1"/>
      <c r="H98" s="6"/>
    </row>
    <row r="99" ht="15.75" customHeight="1">
      <c r="B99" s="6">
        <v>91.0</v>
      </c>
      <c r="C99" s="1"/>
      <c r="H99" s="6"/>
    </row>
    <row r="100" ht="15.75" customHeight="1">
      <c r="B100" s="6">
        <v>92.0</v>
      </c>
      <c r="C100" s="1"/>
      <c r="H100" s="6"/>
    </row>
    <row r="101" ht="15.75" customHeight="1">
      <c r="B101" s="6">
        <v>93.0</v>
      </c>
      <c r="C101" s="1"/>
      <c r="H101" s="6"/>
    </row>
    <row r="102" ht="15.75" customHeight="1">
      <c r="B102" s="6">
        <v>94.0</v>
      </c>
      <c r="C102" s="1"/>
      <c r="H102" s="6"/>
    </row>
    <row r="103" ht="15.75" customHeight="1">
      <c r="B103" s="6">
        <v>95.0</v>
      </c>
      <c r="C103" s="1"/>
    </row>
    <row r="104" ht="15.75" customHeight="1">
      <c r="B104" s="6">
        <v>96.0</v>
      </c>
      <c r="C104" s="1"/>
    </row>
    <row r="105" ht="15.75" customHeight="1">
      <c r="B105" s="6">
        <v>97.0</v>
      </c>
      <c r="C105" s="1"/>
    </row>
    <row r="106" ht="15.75" customHeight="1">
      <c r="B106" s="6">
        <v>98.0</v>
      </c>
      <c r="C106" s="1"/>
    </row>
    <row r="107" ht="15.75" customHeight="1">
      <c r="B107" s="6">
        <v>99.0</v>
      </c>
      <c r="C107" s="1"/>
    </row>
    <row r="108" ht="15.75" customHeight="1">
      <c r="B108" s="6">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0" t="s">
        <v>69</v>
      </c>
    </row>
    <row r="3" ht="15.75" customHeight="1"/>
    <row r="4" ht="15.75" customHeight="1">
      <c r="B4" s="82" t="s">
        <v>1</v>
      </c>
      <c r="C4" s="83" t="str">
        <f>'Diseño'!C4</f>
        <v>722 - Teoría de Sistemas 1</v>
      </c>
      <c r="D4" s="33"/>
      <c r="E4" s="33"/>
      <c r="F4" s="33"/>
      <c r="G4" s="34"/>
    </row>
    <row r="5" ht="15.75" customHeight="1">
      <c r="B5" s="84" t="s">
        <v>77</v>
      </c>
      <c r="C5" s="83">
        <v>1.0</v>
      </c>
      <c r="D5" s="33"/>
      <c r="E5" s="33"/>
      <c r="F5" s="33"/>
      <c r="G5" s="34"/>
    </row>
    <row r="6" ht="15.75" customHeight="1">
      <c r="B6" s="84" t="s">
        <v>193</v>
      </c>
      <c r="C6" s="83">
        <f>B15+B22+B29+B41+B47+B36</f>
        <v>100</v>
      </c>
      <c r="D6" s="33"/>
      <c r="E6" s="33"/>
      <c r="F6" s="33"/>
      <c r="G6" s="34"/>
    </row>
    <row r="7" ht="15.75" customHeight="1"/>
    <row r="8" ht="15.75" customHeight="1">
      <c r="K8" s="85" t="s">
        <v>194</v>
      </c>
    </row>
    <row r="9" ht="15.75" customHeight="1">
      <c r="A9" s="86" t="s">
        <v>195</v>
      </c>
      <c r="G9" s="87" t="s">
        <v>196</v>
      </c>
      <c r="H9" s="88">
        <f>B15</f>
        <v>10</v>
      </c>
    </row>
    <row r="10" ht="15.75" customHeight="1">
      <c r="G10" s="89" t="s">
        <v>197</v>
      </c>
    </row>
    <row r="11" ht="24.75" customHeight="1">
      <c r="A11" s="90" t="s">
        <v>198</v>
      </c>
      <c r="B11" s="40" t="s">
        <v>199</v>
      </c>
      <c r="C11" s="33"/>
      <c r="D11" s="33"/>
      <c r="E11" s="33"/>
      <c r="F11" s="33"/>
      <c r="G11" s="33"/>
      <c r="H11" s="34"/>
    </row>
    <row r="12">
      <c r="A12" s="90" t="s">
        <v>200</v>
      </c>
      <c r="B12" s="40" t="s">
        <v>201</v>
      </c>
      <c r="C12" s="33"/>
      <c r="D12" s="33"/>
      <c r="E12" s="33"/>
      <c r="F12" s="33"/>
      <c r="G12" s="33"/>
      <c r="H12" s="34"/>
    </row>
    <row r="13">
      <c r="A13" s="91" t="s">
        <v>202</v>
      </c>
      <c r="B13" s="40" t="s">
        <v>203</v>
      </c>
      <c r="C13" s="33"/>
      <c r="D13" s="33"/>
      <c r="E13" s="33"/>
      <c r="F13" s="33"/>
      <c r="G13" s="33"/>
      <c r="H13" s="34"/>
    </row>
    <row r="14">
      <c r="A14" s="91" t="s">
        <v>204</v>
      </c>
      <c r="B14" s="40" t="s">
        <v>205</v>
      </c>
      <c r="C14" s="33"/>
      <c r="D14" s="33"/>
      <c r="E14" s="33"/>
      <c r="F14" s="33"/>
      <c r="G14" s="33"/>
      <c r="H14" s="34"/>
    </row>
    <row r="15" ht="15.75" customHeight="1">
      <c r="A15" s="92" t="s">
        <v>206</v>
      </c>
      <c r="B15" s="93">
        <v>10.0</v>
      </c>
      <c r="C15" s="33"/>
      <c r="D15" s="33"/>
      <c r="E15" s="33"/>
      <c r="F15" s="33"/>
      <c r="G15" s="33"/>
      <c r="H15" s="34"/>
    </row>
    <row r="16" ht="15.75" customHeight="1"/>
    <row r="17" ht="15.75" customHeight="1"/>
    <row r="18" ht="15.75" customHeight="1">
      <c r="A18" s="94" t="s">
        <v>207</v>
      </c>
      <c r="G18" s="87" t="s">
        <v>196</v>
      </c>
      <c r="H18" s="88">
        <f>B22</f>
        <v>30</v>
      </c>
    </row>
    <row r="19" ht="15.75" customHeight="1">
      <c r="G19" s="89" t="s">
        <v>208</v>
      </c>
      <c r="K19" s="85" t="s">
        <v>209</v>
      </c>
    </row>
    <row r="20">
      <c r="A20" s="90" t="s">
        <v>210</v>
      </c>
      <c r="B20" s="40" t="s">
        <v>211</v>
      </c>
      <c r="C20" s="33"/>
      <c r="D20" s="33"/>
      <c r="E20" s="33"/>
      <c r="F20" s="33"/>
      <c r="G20" s="33"/>
      <c r="H20" s="34"/>
    </row>
    <row r="21">
      <c r="A21" s="90" t="s">
        <v>212</v>
      </c>
      <c r="B21" s="40" t="s">
        <v>213</v>
      </c>
      <c r="C21" s="33"/>
      <c r="D21" s="33"/>
      <c r="E21" s="33"/>
      <c r="F21" s="33"/>
      <c r="G21" s="33"/>
      <c r="H21" s="34"/>
    </row>
    <row r="22">
      <c r="A22" s="92" t="s">
        <v>206</v>
      </c>
      <c r="B22" s="95">
        <v>30.0</v>
      </c>
      <c r="C22" s="33"/>
      <c r="D22" s="33"/>
      <c r="E22" s="33"/>
      <c r="F22" s="33"/>
      <c r="G22" s="33"/>
      <c r="H22" s="34"/>
    </row>
    <row r="23" ht="15.75" customHeight="1"/>
    <row r="24" ht="15.75" customHeight="1"/>
    <row r="25" ht="15.75" customHeight="1">
      <c r="A25" s="94" t="s">
        <v>214</v>
      </c>
      <c r="G25" s="96" t="s">
        <v>196</v>
      </c>
      <c r="H25" s="88">
        <f>B29</f>
        <v>30</v>
      </c>
    </row>
    <row r="26" ht="15.75" customHeight="1">
      <c r="G26" s="89" t="s">
        <v>215</v>
      </c>
      <c r="H26" s="89"/>
      <c r="I26" s="89"/>
      <c r="J26" s="89"/>
    </row>
    <row r="27" ht="39.75" customHeight="1">
      <c r="A27" s="90" t="s">
        <v>216</v>
      </c>
      <c r="B27" s="40" t="s">
        <v>217</v>
      </c>
      <c r="C27" s="33"/>
      <c r="D27" s="33"/>
      <c r="E27" s="33"/>
      <c r="F27" s="33"/>
      <c r="G27" s="33"/>
      <c r="H27" s="34"/>
      <c r="K27" s="85" t="s">
        <v>218</v>
      </c>
    </row>
    <row r="28" ht="69.75" customHeight="1">
      <c r="A28" s="90" t="s">
        <v>219</v>
      </c>
      <c r="B28" s="40" t="s">
        <v>220</v>
      </c>
      <c r="C28" s="33"/>
      <c r="D28" s="33"/>
      <c r="E28" s="33"/>
      <c r="F28" s="33"/>
      <c r="G28" s="33"/>
      <c r="H28" s="34"/>
    </row>
    <row r="29" ht="15.75" customHeight="1">
      <c r="A29" s="92" t="s">
        <v>206</v>
      </c>
      <c r="B29" s="95">
        <v>30.0</v>
      </c>
      <c r="C29" s="33"/>
      <c r="D29" s="33"/>
      <c r="E29" s="33"/>
      <c r="F29" s="33"/>
      <c r="G29" s="33"/>
      <c r="H29" s="34"/>
    </row>
    <row r="30" ht="15.75" customHeight="1"/>
    <row r="31" ht="15.75" customHeight="1"/>
    <row r="32" ht="15.75" customHeight="1">
      <c r="A32" s="94" t="s">
        <v>221</v>
      </c>
      <c r="G32" s="96" t="s">
        <v>196</v>
      </c>
      <c r="H32" s="88">
        <f>B36</f>
        <v>10</v>
      </c>
    </row>
    <row r="33" ht="15.75" customHeight="1">
      <c r="A33" s="71" t="s">
        <v>222</v>
      </c>
      <c r="G33" s="71" t="s">
        <v>223</v>
      </c>
    </row>
    <row r="34">
      <c r="A34" s="90" t="s">
        <v>224</v>
      </c>
      <c r="B34" s="40"/>
      <c r="C34" s="33"/>
      <c r="D34" s="33"/>
      <c r="E34" s="33"/>
      <c r="F34" s="33"/>
      <c r="G34" s="33"/>
      <c r="H34" s="34"/>
      <c r="K34" s="85" t="s">
        <v>225</v>
      </c>
    </row>
    <row r="35">
      <c r="A35" s="90" t="s">
        <v>226</v>
      </c>
      <c r="B35" s="40" t="s">
        <v>227</v>
      </c>
      <c r="C35" s="33"/>
      <c r="D35" s="33"/>
      <c r="E35" s="33"/>
      <c r="F35" s="33"/>
      <c r="G35" s="33"/>
      <c r="H35" s="34"/>
    </row>
    <row r="36" ht="15.75" customHeight="1">
      <c r="A36" s="92" t="s">
        <v>206</v>
      </c>
      <c r="B36" s="95">
        <v>10.0</v>
      </c>
      <c r="C36" s="33"/>
      <c r="D36" s="33"/>
      <c r="E36" s="33"/>
      <c r="F36" s="33"/>
      <c r="G36" s="33"/>
      <c r="H36" s="34"/>
    </row>
    <row r="37" ht="15.75" customHeight="1"/>
    <row r="38" ht="15.75" customHeight="1"/>
    <row r="39" ht="15.75" customHeight="1">
      <c r="A39" s="94" t="s">
        <v>228</v>
      </c>
      <c r="G39" s="96" t="s">
        <v>196</v>
      </c>
      <c r="H39" s="88">
        <f>B41</f>
        <v>10</v>
      </c>
    </row>
    <row r="40" ht="15.75" customHeight="1">
      <c r="G40" s="89" t="s">
        <v>229</v>
      </c>
    </row>
    <row r="41" ht="28.5" customHeight="1">
      <c r="A41" s="92" t="s">
        <v>206</v>
      </c>
      <c r="B41" s="95">
        <v>10.0</v>
      </c>
      <c r="C41" s="33"/>
      <c r="D41" s="33"/>
      <c r="E41" s="33"/>
      <c r="F41" s="33"/>
      <c r="G41" s="33"/>
      <c r="H41" s="34"/>
    </row>
    <row r="42" ht="15.75" customHeight="1"/>
    <row r="43" ht="15.75" customHeight="1"/>
    <row r="44" ht="15.75" customHeight="1">
      <c r="A44" s="94" t="s">
        <v>230</v>
      </c>
      <c r="G44" s="96" t="s">
        <v>196</v>
      </c>
      <c r="H44" s="88">
        <f>B47</f>
        <v>10</v>
      </c>
    </row>
    <row r="45" ht="15.75" customHeight="1">
      <c r="G45" s="89" t="s">
        <v>197</v>
      </c>
    </row>
    <row r="46">
      <c r="A46" s="90" t="s">
        <v>231</v>
      </c>
      <c r="B46" s="40" t="s">
        <v>232</v>
      </c>
      <c r="C46" s="33"/>
      <c r="D46" s="33"/>
      <c r="E46" s="33"/>
      <c r="F46" s="33"/>
      <c r="G46" s="33"/>
      <c r="H46" s="34"/>
    </row>
    <row r="47" ht="15.75" customHeight="1">
      <c r="A47" s="92" t="s">
        <v>206</v>
      </c>
      <c r="B47" s="95">
        <v>10.0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2.0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40" t="s">
        <v>239</v>
      </c>
      <c r="C12" s="33"/>
      <c r="D12" s="33"/>
      <c r="E12" s="33"/>
      <c r="F12" s="33"/>
      <c r="G12" s="33"/>
      <c r="H12" s="34"/>
    </row>
    <row r="13" ht="15.75" customHeight="1">
      <c r="A13" s="92" t="s">
        <v>196</v>
      </c>
      <c r="B13" s="95">
        <v>5.0</v>
      </c>
      <c r="C13" s="33"/>
      <c r="D13" s="33"/>
      <c r="E13" s="33"/>
      <c r="F13" s="33"/>
      <c r="G13" s="33"/>
      <c r="H13" s="34"/>
    </row>
    <row r="14" ht="15.75" customHeight="1">
      <c r="A14" s="102" t="s">
        <v>240</v>
      </c>
      <c r="B14" s="33"/>
      <c r="C14" s="33"/>
      <c r="D14" s="33"/>
      <c r="E14" s="33"/>
      <c r="F14" s="33"/>
      <c r="G14" s="33"/>
      <c r="H14" s="34"/>
    </row>
    <row r="15" ht="15.75" customHeight="1">
      <c r="A15" s="63" t="s">
        <v>241</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243</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45</v>
      </c>
      <c r="I21" s="6"/>
    </row>
    <row r="22" ht="15.75" customHeight="1">
      <c r="G22" s="89" t="s">
        <v>245</v>
      </c>
    </row>
    <row r="23" ht="15.75" customHeight="1">
      <c r="A23" s="91" t="s">
        <v>246</v>
      </c>
      <c r="B23" s="93" t="s">
        <v>78</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1: Introducción al pensamiento sistémico")</f>
        <v>Unidad 1: Introducción al pensamiento sistémico</v>
      </c>
      <c r="C28" s="34"/>
      <c r="D28" s="83" t="str">
        <f>IFERROR(__xludf.DUMMYFUNCTION("FILTER('Diseño'!E:E,'Diseño'!H:H=$C$5)"),"Los modelos mentales o sistemas abstractos diseñados")</f>
        <v>Los modelos mentales o sistemas abstractos diseñados</v>
      </c>
      <c r="E28" s="34"/>
      <c r="F28" s="83" t="str">
        <f>IFERROR(__xludf.DUMMYFUNCTION("FILTER('Diseño'!F:F,'Diseño'!H:H=$C$5)"),"Pensar en sistemas o pensar de otras maneras")</f>
        <v>Pensar en sistemas o pensar de otras maneras</v>
      </c>
      <c r="G28" s="33"/>
      <c r="H28" s="34"/>
    </row>
    <row r="29" ht="15.75" customHeight="1">
      <c r="A29" s="84">
        <v>2.0</v>
      </c>
      <c r="B29" s="83" t="str">
        <f>IFERROR(__xludf.DUMMYFUNCTION("""COMPUTED_VALUE"""),"Unidad 1: Introducción al pensamiento sistémico")</f>
        <v>Unidad 1: Introducción al pensamiento sistémico</v>
      </c>
      <c r="C29" s="34"/>
      <c r="D29" s="83" t="str">
        <f>IFERROR(__xludf.DUMMYFUNCTION("""COMPUTED_VALUE"""),"Los modelos mentales o sistemas abstractos diseñados")</f>
        <v>Los modelos mentales o sistemas abstractos diseñados</v>
      </c>
      <c r="E29" s="34"/>
      <c r="F29" s="83" t="str">
        <f>IFERROR(__xludf.DUMMYFUNCTION("""COMPUTED_VALUE"""),"La realidad interpretada por el pensamiento")</f>
        <v>La realidad interpretada por el pensamiento</v>
      </c>
      <c r="G29" s="33"/>
      <c r="H29" s="34"/>
    </row>
    <row r="30" ht="15.75" customHeight="1">
      <c r="A30" s="84">
        <v>3.0</v>
      </c>
      <c r="B30" s="83" t="str">
        <f>IFERROR(__xludf.DUMMYFUNCTION("""COMPUTED_VALUE"""),"Unidad 1: Introducción al pensamiento sistémico")</f>
        <v>Unidad 1: Introducción al pensamiento sistémico</v>
      </c>
      <c r="C30" s="34"/>
      <c r="D30" s="83" t="str">
        <f>IFERROR(__xludf.DUMMYFUNCTION("""COMPUTED_VALUE"""),"Los modelos mentales o sistemas abstractos diseñados")</f>
        <v>Los modelos mentales o sistemas abstractos diseñados</v>
      </c>
      <c r="E30" s="34"/>
      <c r="F30" s="83" t="str">
        <f>IFERROR(__xludf.DUMMYFUNCTION("""COMPUTED_VALUE"""),"La dinámica de los modelos mentales")</f>
        <v>La dinámica de los modelos mentales</v>
      </c>
      <c r="G30" s="33"/>
      <c r="H30" s="34"/>
    </row>
    <row r="31" ht="15.75" customHeight="1">
      <c r="A31" s="84">
        <v>4.0</v>
      </c>
      <c r="B31" s="83" t="str">
        <f>IFERROR(__xludf.DUMMYFUNCTION("""COMPUTED_VALUE"""),"Unidad 1: Introducción al pensamiento sistémico")</f>
        <v>Unidad 1: Introducción al pensamiento sistémico</v>
      </c>
      <c r="C31" s="34"/>
      <c r="D31" s="83" t="str">
        <f>IFERROR(__xludf.DUMMYFUNCTION("""COMPUTED_VALUE"""),"Los modelos mentales o sistemas abstractos diseñados")</f>
        <v>Los modelos mentales o sistemas abstractos diseñados</v>
      </c>
      <c r="E31" s="34"/>
      <c r="F31" s="83" t="str">
        <f>IFERROR(__xludf.DUMMYFUNCTION("""COMPUTED_VALUE"""),"La escalera de inferencias")</f>
        <v>La escalera de inferencias</v>
      </c>
      <c r="G31" s="33"/>
      <c r="H31" s="34"/>
    </row>
    <row r="32" ht="15.75" customHeight="1">
      <c r="A32" s="84">
        <v>5.0</v>
      </c>
      <c r="B32" s="83" t="str">
        <f>IFERROR(__xludf.DUMMYFUNCTION("""COMPUTED_VALUE"""),"Unidad 1: Introducción al pensamiento sistémico")</f>
        <v>Unidad 1: Introducción al pensamiento sistémico</v>
      </c>
      <c r="C32" s="34"/>
      <c r="D32" s="83" t="str">
        <f>IFERROR(__xludf.DUMMYFUNCTION("""COMPUTED_VALUE"""),"Los modelos mentales o sistemas abstractos diseñados")</f>
        <v>Los modelos mentales o sistemas abstractos diseñados</v>
      </c>
      <c r="E32" s="34"/>
      <c r="F32" s="83" t="str">
        <f>IFERROR(__xludf.DUMMYFUNCTION("""COMPUTED_VALUE"""),"Modelos mentales sistémicos")</f>
        <v>Modelos mentales sistémicos</v>
      </c>
      <c r="G32" s="33"/>
      <c r="H32" s="34"/>
    </row>
    <row r="33" ht="15.75" customHeight="1">
      <c r="A33" s="84">
        <v>6.0</v>
      </c>
      <c r="B33" s="83" t="str">
        <f>IFERROR(__xludf.DUMMYFUNCTION("""COMPUTED_VALUE"""),"Unidad 1: Introducción al pensamiento sistémico")</f>
        <v>Unidad 1: Introducción al pensamiento sistémico</v>
      </c>
      <c r="C33" s="34"/>
      <c r="D33" s="83" t="str">
        <f>IFERROR(__xludf.DUMMYFUNCTION("""COMPUTED_VALUE"""),"Los modelos mentales o sistemas abstractos diseñados")</f>
        <v>Los modelos mentales o sistemas abstractos diseñados</v>
      </c>
      <c r="E33" s="34"/>
      <c r="F33" s="83" t="str">
        <f>IFERROR(__xludf.DUMMYFUNCTION("""COMPUTED_VALUE"""),"Comparación de sistemas abstractos")</f>
        <v>Comparación de sistemas abstractos</v>
      </c>
      <c r="G33" s="33"/>
      <c r="H33" s="34"/>
    </row>
    <row r="34" ht="15.75" customHeight="1">
      <c r="A34" s="84">
        <v>7.0</v>
      </c>
      <c r="B34" s="83" t="str">
        <f>IFERROR(__xludf.DUMMYFUNCTION("""COMPUTED_VALUE"""),"Unidad 1: Introducción al pensamiento sistémico")</f>
        <v>Unidad 1: Introducción al pensamiento sistémico</v>
      </c>
      <c r="C34" s="34"/>
      <c r="D34" s="83" t="str">
        <f>IFERROR(__xludf.DUMMYFUNCTION("""COMPUTED_VALUE"""),"Los modelos mentales o sistemas abstractos diseñados")</f>
        <v>Los modelos mentales o sistemas abstractos diseñados</v>
      </c>
      <c r="E34" s="34"/>
      <c r="F34" s="83" t="str">
        <f>IFERROR(__xludf.DUMMYFUNCTION("""COMPUTED_VALUE"""),"Operaciones mentales básicas")</f>
        <v>Operaciones mentales básicas</v>
      </c>
      <c r="G34" s="33"/>
      <c r="H34" s="34"/>
    </row>
    <row r="35" ht="15.75" customHeight="1">
      <c r="B35" s="106" t="str">
        <f>IFERROR(__xludf.DUMMYFUNCTION("""COMPUTED_VALUE"""),"Unidad 2: Los sistemas abstractos diseñados")</f>
        <v>Unidad 2: Los sistemas abstractos diseñados</v>
      </c>
      <c r="D35" s="106" t="str">
        <f>IFERROR(__xludf.DUMMYFUNCTION("""COMPUTED_VALUE"""),"Operaciones mentales sistémicas")</f>
        <v>Operaciones mentales sistémicas</v>
      </c>
      <c r="F35" s="106" t="str">
        <f>IFERROR(__xludf.DUMMYFUNCTION("""COMPUTED_VALUE"""),"Operaciones mentales básicas del pensamiento sistémico")</f>
        <v>Operaciones mentales básicas del pensamiento sistémico</v>
      </c>
    </row>
    <row r="36" ht="15.75" customHeight="1">
      <c r="A36" s="103" t="s">
        <v>251</v>
      </c>
      <c r="B36" s="106" t="str">
        <f>IFERROR(__xludf.DUMMYFUNCTION("""COMPUTED_VALUE"""),"Unidad 2: Los sistemas abstractos diseñados")</f>
        <v>Unidad 2: Los sistemas abstractos diseñados</v>
      </c>
      <c r="D36" s="106" t="str">
        <f>IFERROR(__xludf.DUMMYFUNCTION("""COMPUTED_VALUE"""),"Operaciones mentales sistémicas")</f>
        <v>Operaciones mentales sistémicas</v>
      </c>
      <c r="F36" s="106" t="str">
        <f>IFERROR(__xludf.DUMMYFUNCTION("""COMPUTED_VALUE"""),"El pensamiento sistémico como emergente")</f>
        <v>El pensamiento sistémico como emergente</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25.0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10.0</v>
      </c>
      <c r="E42" s="33"/>
      <c r="F42" s="33"/>
      <c r="G42" s="33"/>
      <c r="H42" s="34"/>
      <c r="I42" s="84" t="str">
        <f t="shared" si="1"/>
        <v>Correcto</v>
      </c>
    </row>
    <row r="43" ht="15.75" customHeight="1"/>
    <row r="44" ht="15.75" customHeight="1">
      <c r="A44" s="100" t="s">
        <v>261</v>
      </c>
      <c r="G44" s="96" t="s">
        <v>196</v>
      </c>
      <c r="H44" s="101">
        <f>B50</f>
        <v>40</v>
      </c>
    </row>
    <row r="45" ht="15.75" customHeight="1">
      <c r="G45" s="89" t="s">
        <v>262</v>
      </c>
    </row>
    <row r="46" ht="15.75" customHeight="1">
      <c r="A46" s="89" t="s">
        <v>263</v>
      </c>
    </row>
    <row r="47">
      <c r="A47" s="91" t="s">
        <v>264</v>
      </c>
      <c r="B47" s="93" t="s">
        <v>265</v>
      </c>
      <c r="C47" s="33"/>
      <c r="D47" s="33"/>
      <c r="E47" s="33"/>
      <c r="F47" s="33"/>
      <c r="G47" s="33"/>
      <c r="H47" s="34"/>
    </row>
    <row r="48" ht="15.75" customHeight="1">
      <c r="A48" s="91" t="s">
        <v>8</v>
      </c>
      <c r="B48" s="93" t="s">
        <v>266</v>
      </c>
      <c r="C48" s="33"/>
      <c r="D48" s="33"/>
      <c r="E48" s="33"/>
      <c r="F48" s="33"/>
      <c r="G48" s="33"/>
      <c r="H48" s="34"/>
    </row>
    <row r="49" ht="15.75" customHeight="1">
      <c r="A49" s="91" t="s">
        <v>234</v>
      </c>
      <c r="B49" s="110">
        <v>1.0</v>
      </c>
      <c r="C49" s="33"/>
      <c r="D49" s="33"/>
      <c r="E49" s="33"/>
      <c r="F49" s="33"/>
      <c r="G49" s="33"/>
      <c r="H49" s="34"/>
    </row>
    <row r="50" ht="15.75" customHeight="1">
      <c r="A50" s="91" t="s">
        <v>196</v>
      </c>
      <c r="B50" s="93">
        <v>40.0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269</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63" t="s">
        <v>272</v>
      </c>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276</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3.0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30.75" customHeight="1">
      <c r="A12" s="91" t="s">
        <v>238</v>
      </c>
      <c r="B12" s="40" t="s">
        <v>278</v>
      </c>
      <c r="C12" s="33"/>
      <c r="D12" s="33"/>
      <c r="E12" s="33"/>
      <c r="F12" s="33"/>
      <c r="G12" s="33"/>
      <c r="H12" s="34"/>
    </row>
    <row r="13" ht="27.0" customHeight="1">
      <c r="A13" s="92" t="s">
        <v>196</v>
      </c>
      <c r="B13" s="95">
        <v>5.0</v>
      </c>
      <c r="C13" s="33"/>
      <c r="D13" s="33"/>
      <c r="E13" s="33"/>
      <c r="F13" s="33"/>
      <c r="G13" s="33"/>
      <c r="H13" s="34"/>
    </row>
    <row r="14" ht="15.75" customHeight="1">
      <c r="A14" s="102" t="s">
        <v>240</v>
      </c>
      <c r="B14" s="33"/>
      <c r="C14" s="33"/>
      <c r="D14" s="33"/>
      <c r="E14" s="33"/>
      <c r="F14" s="33"/>
      <c r="G14" s="33"/>
      <c r="H14" s="34"/>
    </row>
    <row r="15" ht="15.75" customHeight="1">
      <c r="A15" s="63" t="s">
        <v>279</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280</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50</v>
      </c>
      <c r="I21" s="6"/>
    </row>
    <row r="22" ht="15.75" customHeight="1">
      <c r="G22" s="89" t="s">
        <v>245</v>
      </c>
    </row>
    <row r="23" ht="15.75" customHeight="1">
      <c r="A23" s="91" t="s">
        <v>246</v>
      </c>
      <c r="B23" s="93" t="s">
        <v>98</v>
      </c>
      <c r="C23" s="33"/>
      <c r="D23" s="33"/>
      <c r="E23" s="33"/>
      <c r="F23" s="33"/>
      <c r="G23" s="33"/>
      <c r="H23" s="34"/>
    </row>
    <row r="24" ht="15.75" customHeight="1">
      <c r="A24" s="91" t="s">
        <v>246</v>
      </c>
      <c r="B24" s="9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2: Los sistemas abstractos diseñados")</f>
        <v>Unidad 2: Los sistemas abstractos diseñados</v>
      </c>
      <c r="C28" s="34"/>
      <c r="D28" s="83" t="str">
        <f>IFERROR(__xludf.DUMMYFUNCTION("FILTER('Diseño'!E:E,'Diseño'!H:H=$C$5)"),"Operaciones mentales sistémicas")</f>
        <v>Operaciones mentales sistémicas</v>
      </c>
      <c r="E28" s="34"/>
      <c r="F28" s="83" t="str">
        <f>IFERROR(__xludf.DUMMYFUNCTION("FILTER('Diseño'!F:F,'Diseño'!H:H=$C$5)"),"Hábitos relacionados con los sistemas abstractos")</f>
        <v>Hábitos relacionados con los sistemas abstractos</v>
      </c>
      <c r="G28" s="33"/>
      <c r="H28" s="34"/>
    </row>
    <row r="29" ht="15.75" customHeight="1">
      <c r="A29" s="84">
        <v>2.0</v>
      </c>
      <c r="B29" s="83" t="str">
        <f>IFERROR(__xludf.DUMMYFUNCTION("""COMPUTED_VALUE"""),"Unidad 2: Los sistemas abstractos diseñados")</f>
        <v>Unidad 2: Los sistemas abstractos diseñados</v>
      </c>
      <c r="C29" s="34"/>
      <c r="D29" s="83" t="str">
        <f>IFERROR(__xludf.DUMMYFUNCTION("""COMPUTED_VALUE"""),"Operaciones mentales sistémicas")</f>
        <v>Operaciones mentales sistémicas</v>
      </c>
      <c r="E29" s="34"/>
      <c r="F29" s="83" t="str">
        <f>IFERROR(__xludf.DUMMYFUNCTION("""COMPUTED_VALUE"""),"El pensamiento adaptativo complejo")</f>
        <v>El pensamiento adaptativo complejo</v>
      </c>
      <c r="G29" s="33"/>
      <c r="H29" s="34"/>
    </row>
    <row r="30" ht="15.75" customHeight="1">
      <c r="A30" s="84">
        <v>3.0</v>
      </c>
      <c r="B30" s="83" t="str">
        <f>IFERROR(__xludf.DUMMYFUNCTION("""COMPUTED_VALUE"""),"Unidad 2: Los sistemas abstractos diseñados")</f>
        <v>Unidad 2: Los sistemas abstractos diseñados</v>
      </c>
      <c r="C30" s="34"/>
      <c r="D30" s="83" t="str">
        <f>IFERROR(__xludf.DUMMYFUNCTION("""COMPUTED_VALUE"""),"Operaciones mentales sistémicas")</f>
        <v>Operaciones mentales sistémicas</v>
      </c>
      <c r="E30" s="34"/>
      <c r="F30" s="83" t="str">
        <f>IFERROR(__xludf.DUMMYFUNCTION("""COMPUTED_VALUE"""),"La perspectiva en sistemas abstractos")</f>
        <v>La perspectiva en sistemas abstractos</v>
      </c>
      <c r="G30" s="33"/>
      <c r="H30" s="34"/>
    </row>
    <row r="31" ht="15.75" customHeight="1">
      <c r="A31" s="84">
        <v>4.0</v>
      </c>
      <c r="B31" s="83" t="str">
        <f>IFERROR(__xludf.DUMMYFUNCTION("""COMPUTED_VALUE"""),"Unidad 2: Los sistemas abstractos diseñados")</f>
        <v>Unidad 2: Los sistemas abstractos diseñados</v>
      </c>
      <c r="C31" s="34"/>
      <c r="D31" s="83" t="str">
        <f>IFERROR(__xludf.DUMMYFUNCTION("""COMPUTED_VALUE"""),"Operaciones mentales sistémicas")</f>
        <v>Operaciones mentales sistémicas</v>
      </c>
      <c r="E31" s="34"/>
      <c r="F31" s="83" t="str">
        <f>IFERROR(__xludf.DUMMYFUNCTION("""COMPUTED_VALUE"""),"Comparación entre sistemas diseñados")</f>
        <v>Comparación entre sistemas diseñados</v>
      </c>
      <c r="G31" s="33"/>
      <c r="H31" s="34"/>
    </row>
    <row r="32" ht="15.75" customHeight="1">
      <c r="A32" s="84">
        <v>5.0</v>
      </c>
      <c r="B32" s="83" t="str">
        <f>IFERROR(__xludf.DUMMYFUNCTION("""COMPUTED_VALUE"""),"Unidad 2: Los sistemas abstractos diseñados")</f>
        <v>Unidad 2: Los sistemas abstractos diseñados</v>
      </c>
      <c r="C32" s="34"/>
      <c r="D32" s="83" t="str">
        <f>IFERROR(__xludf.DUMMYFUNCTION("""COMPUTED_VALUE"""),"Operaciones mentales sistémicas")</f>
        <v>Operaciones mentales sistémicas</v>
      </c>
      <c r="E32" s="34"/>
      <c r="F32" s="83" t="str">
        <f>IFERROR(__xludf.DUMMYFUNCTION("""COMPUTED_VALUE"""),"Ejemplos de sistemas mentales")</f>
        <v>Ejemplos de sistemas mentales</v>
      </c>
      <c r="G32" s="33"/>
      <c r="H32" s="34"/>
    </row>
    <row r="33" ht="15.75" customHeight="1">
      <c r="A33" s="84">
        <v>6.0</v>
      </c>
      <c r="B33" s="83" t="str">
        <f>IFERROR(__xludf.DUMMYFUNCTION("""COMPUTED_VALUE"""),"Unidad 2: Los sistemas abstractos diseñados")</f>
        <v>Unidad 2: Los sistemas abstractos diseñados</v>
      </c>
      <c r="C33" s="34"/>
      <c r="D33" s="83" t="str">
        <f>IFERROR(__xludf.DUMMYFUNCTION("""COMPUTED_VALUE"""),"Compartir modelos mentales")</f>
        <v>Compartir modelos mentales</v>
      </c>
      <c r="E33" s="34"/>
      <c r="F33" s="83" t="str">
        <f>IFERROR(__xludf.DUMMYFUNCTION("""COMPUTED_VALUE"""),"Sistemas abstractos diseñados compartidos (paradigmas)")</f>
        <v>Sistemas abstractos diseñados compartidos (paradigmas)</v>
      </c>
      <c r="G33" s="33"/>
      <c r="H33" s="34"/>
    </row>
    <row r="34" ht="15.75" customHeight="1">
      <c r="A34" s="84">
        <v>7.0</v>
      </c>
      <c r="B34" s="83" t="str">
        <f>IFERROR(__xludf.DUMMYFUNCTION("""COMPUTED_VALUE"""),"Unidad 2: Los sistemas abstractos diseñados")</f>
        <v>Unidad 2: Los sistemas abstractos diseñados</v>
      </c>
      <c r="C34" s="34"/>
      <c r="D34" s="83" t="str">
        <f>IFERROR(__xludf.DUMMYFUNCTION("""COMPUTED_VALUE"""),"Compartir modelos mentales")</f>
        <v>Compartir modelos mentales</v>
      </c>
      <c r="E34" s="34"/>
      <c r="F34" s="83" t="str">
        <f>IFERROR(__xludf.DUMMYFUNCTION("""COMPUTED_VALUE"""),"Paradigmas en contextos específicos")</f>
        <v>Paradigmas en contextos específicos</v>
      </c>
      <c r="G34" s="33"/>
      <c r="H34" s="34"/>
    </row>
    <row r="35" ht="15.75" customHeight="1">
      <c r="B35" s="106" t="str">
        <f>IFERROR(__xludf.DUMMYFUNCTION("""COMPUTED_VALUE"""),"Unidad 2: Los sistemas abstractos diseñados")</f>
        <v>Unidad 2: Los sistemas abstractos diseñados</v>
      </c>
      <c r="D35" s="106" t="str">
        <f>IFERROR(__xludf.DUMMYFUNCTION("""COMPUTED_VALUE"""),"Compartir modelos mentales")</f>
        <v>Compartir modelos mentales</v>
      </c>
      <c r="F35" s="106" t="str">
        <f>IFERROR(__xludf.DUMMYFUNCTION("""COMPUTED_VALUE"""),"Comparación con otros paradigmas")</f>
        <v>Comparación con otros paradigmas</v>
      </c>
    </row>
    <row r="36" ht="15.75" customHeight="1">
      <c r="A36" s="103" t="s">
        <v>251</v>
      </c>
      <c r="B36" s="106" t="str">
        <f>IFERROR(__xludf.DUMMYFUNCTION("""COMPUTED_VALUE"""),"Unidad 2: Los sistemas abstractos diseñados")</f>
        <v>Unidad 2: Los sistemas abstractos diseñados</v>
      </c>
      <c r="D36" s="106" t="str">
        <f>IFERROR(__xludf.DUMMYFUNCTION("""COMPUTED_VALUE"""),"Compartir modelos mentales")</f>
        <v>Compartir modelos mentales</v>
      </c>
      <c r="F36" s="106" t="str">
        <f>IFERROR(__xludf.DUMMYFUNCTION("""COMPUTED_VALUE"""),"Ejemplos de paradigmas compartidos")</f>
        <v>Ejemplos de paradigmas compartidos</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20.0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20.0</v>
      </c>
      <c r="E42" s="33"/>
      <c r="F42" s="33"/>
      <c r="G42" s="33"/>
      <c r="H42" s="34"/>
      <c r="I42" s="84" t="str">
        <f t="shared" si="1"/>
        <v>Correcto</v>
      </c>
    </row>
    <row r="43" ht="15.75" customHeight="1"/>
    <row r="44" ht="15.75" customHeight="1">
      <c r="A44" s="100" t="s">
        <v>261</v>
      </c>
      <c r="G44" s="96" t="s">
        <v>196</v>
      </c>
      <c r="H44" s="101">
        <f>B50</f>
        <v>35</v>
      </c>
    </row>
    <row r="45" ht="15.75" customHeight="1">
      <c r="G45" s="89" t="s">
        <v>262</v>
      </c>
    </row>
    <row r="46" ht="15.75" customHeight="1">
      <c r="A46" s="89" t="s">
        <v>263</v>
      </c>
    </row>
    <row r="47">
      <c r="A47" s="91" t="s">
        <v>264</v>
      </c>
      <c r="B47" s="93" t="s">
        <v>98</v>
      </c>
      <c r="C47" s="33"/>
      <c r="D47" s="33"/>
      <c r="E47" s="33"/>
      <c r="F47" s="33"/>
      <c r="G47" s="33"/>
      <c r="H47" s="34"/>
    </row>
    <row r="48" ht="15.75" customHeight="1">
      <c r="A48" s="91" t="s">
        <v>8</v>
      </c>
      <c r="B48" s="93" t="s">
        <v>281</v>
      </c>
      <c r="C48" s="33"/>
      <c r="D48" s="33"/>
      <c r="E48" s="33"/>
      <c r="F48" s="33"/>
      <c r="G48" s="33"/>
      <c r="H48" s="34"/>
    </row>
    <row r="49" ht="15.75" customHeight="1">
      <c r="A49" s="91" t="s">
        <v>234</v>
      </c>
      <c r="B49" s="110">
        <v>1.0</v>
      </c>
      <c r="C49" s="33"/>
      <c r="D49" s="33"/>
      <c r="E49" s="33"/>
      <c r="F49" s="33"/>
      <c r="G49" s="33"/>
      <c r="H49" s="34"/>
    </row>
    <row r="50" ht="15.75" customHeight="1">
      <c r="A50" s="91" t="s">
        <v>196</v>
      </c>
      <c r="B50" s="93">
        <v>35.0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282</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283</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4.0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40" t="s">
        <v>284</v>
      </c>
      <c r="C12" s="33"/>
      <c r="D12" s="33"/>
      <c r="E12" s="33"/>
      <c r="F12" s="33"/>
      <c r="G12" s="33"/>
      <c r="H12" s="34"/>
    </row>
    <row r="13" ht="15.75" customHeight="1">
      <c r="A13" s="92" t="s">
        <v>196</v>
      </c>
      <c r="B13" s="95">
        <v>5.0</v>
      </c>
      <c r="C13" s="33"/>
      <c r="D13" s="33"/>
      <c r="E13" s="33"/>
      <c r="F13" s="33"/>
      <c r="G13" s="33"/>
      <c r="H13" s="34"/>
    </row>
    <row r="14" ht="15.75" customHeight="1">
      <c r="A14" s="102" t="s">
        <v>240</v>
      </c>
      <c r="B14" s="33"/>
      <c r="C14" s="33"/>
      <c r="D14" s="33"/>
      <c r="E14" s="33"/>
      <c r="F14" s="33"/>
      <c r="G14" s="33"/>
      <c r="H14" s="34"/>
    </row>
    <row r="15" ht="15.75" customHeight="1">
      <c r="A15" s="63" t="s">
        <v>285</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286</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40</v>
      </c>
      <c r="I21" s="6"/>
    </row>
    <row r="22" ht="15.75" customHeight="1">
      <c r="G22" s="89" t="s">
        <v>245</v>
      </c>
    </row>
    <row r="23" ht="15.75" customHeight="1">
      <c r="A23" s="91" t="s">
        <v>246</v>
      </c>
      <c r="B23" s="93" t="s">
        <v>98</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2: Los sistemas abstractos diseñados")</f>
        <v>Unidad 2: Los sistemas abstractos diseñados</v>
      </c>
      <c r="C28" s="34"/>
      <c r="D28" s="83" t="str">
        <f>IFERROR(__xludf.DUMMYFUNCTION("FILTER('Diseño'!E:E,'Diseño'!H:H=$C$5)"),"Compartir modelos mentales")</f>
        <v>Compartir modelos mentales</v>
      </c>
      <c r="E28" s="34"/>
      <c r="F28" s="83" t="str">
        <f>IFERROR(__xludf.DUMMYFUNCTION("FILTER('Diseño'!F:F,'Diseño'!H:H=$C$5)"),"Impacto en toma de decisiones")</f>
        <v>Impacto en toma de decisiones</v>
      </c>
      <c r="G28" s="33"/>
      <c r="H28" s="34"/>
    </row>
    <row r="29" ht="15.75" customHeight="1">
      <c r="A29" s="84">
        <v>2.0</v>
      </c>
      <c r="B29" s="83" t="str">
        <f>IFERROR(__xludf.DUMMYFUNCTION("""COMPUTED_VALUE"""),"Unidad 2: Los sistemas abstractos diseñados")</f>
        <v>Unidad 2: Los sistemas abstractos diseñados</v>
      </c>
      <c r="C29" s="34"/>
      <c r="D29" s="83" t="str">
        <f>IFERROR(__xludf.DUMMYFUNCTION("""COMPUTED_VALUE"""),"Compartir modelos mentales")</f>
        <v>Compartir modelos mentales</v>
      </c>
      <c r="E29" s="34"/>
      <c r="F29" s="83" t="str">
        <f>IFERROR(__xludf.DUMMYFUNCTION("""COMPUTED_VALUE"""),"Evolución de paradigmas")</f>
        <v>Evolución de paradigmas</v>
      </c>
      <c r="G29" s="33"/>
      <c r="H29" s="34"/>
    </row>
    <row r="30" ht="15.75" customHeight="1">
      <c r="A30" s="84">
        <v>3.0</v>
      </c>
      <c r="B30" s="83" t="str">
        <f>IFERROR(__xludf.DUMMYFUNCTION("""COMPUTED_VALUE"""),"Unidad 2: Los sistemas abstractos diseñados")</f>
        <v>Unidad 2: Los sistemas abstractos diseñados</v>
      </c>
      <c r="C30" s="34"/>
      <c r="D30" s="83" t="str">
        <f>IFERROR(__xludf.DUMMYFUNCTION("""COMPUTED_VALUE"""),"Compartir modelos mentales")</f>
        <v>Compartir modelos mentales</v>
      </c>
      <c r="E30" s="34"/>
      <c r="F30" s="83" t="str">
        <f>IFERROR(__xludf.DUMMYFUNCTION("""COMPUTED_VALUE"""),"Cambios en modelos mentales compartidos")</f>
        <v>Cambios en modelos mentales compartidos</v>
      </c>
      <c r="G30" s="33"/>
      <c r="H30" s="34"/>
    </row>
    <row r="31" ht="15.75" customHeight="1">
      <c r="A31" s="84">
        <v>4.0</v>
      </c>
      <c r="B31" s="83" t="str">
        <f>IFERROR(__xludf.DUMMYFUNCTION("""COMPUTED_VALUE"""),"Unidad 2: Los sistemas abstractos diseñados")</f>
        <v>Unidad 2: Los sistemas abstractos diseñados</v>
      </c>
      <c r="C31" s="34"/>
      <c r="D31" s="83" t="str">
        <f>IFERROR(__xludf.DUMMYFUNCTION("""COMPUTED_VALUE"""),"Perspectiva de sistemas abstractos diseñados")</f>
        <v>Perspectiva de sistemas abstractos diseñados</v>
      </c>
      <c r="E31" s="34"/>
      <c r="F31" s="83" t="str">
        <f>IFERROR(__xludf.DUMMYFUNCTION("""COMPUTED_VALUE"""),"Las perspectivas y los sistemas abstractos")</f>
        <v>Las perspectivas y los sistemas abstractos</v>
      </c>
      <c r="G31" s="33"/>
      <c r="H31" s="34"/>
    </row>
    <row r="32" ht="15.75" customHeight="1">
      <c r="A32" s="84">
        <v>5.0</v>
      </c>
      <c r="B32" s="83" t="str">
        <f>IFERROR(__xludf.DUMMYFUNCTION("""COMPUTED_VALUE"""),"Unidad 2: Los sistemas abstractos diseñados")</f>
        <v>Unidad 2: Los sistemas abstractos diseñados</v>
      </c>
      <c r="C32" s="34"/>
      <c r="D32" s="83" t="str">
        <f>IFERROR(__xludf.DUMMYFUNCTION("""COMPUTED_VALUE"""),"Perspectiva de sistemas abstractos diseñados")</f>
        <v>Perspectiva de sistemas abstractos diseñados</v>
      </c>
      <c r="E32" s="34"/>
      <c r="F32" s="83" t="str">
        <f>IFERROR(__xludf.DUMMYFUNCTION("""COMPUTED_VALUE"""),"Impacto de las perspectivas en decisiones")</f>
        <v>Impacto de las perspectivas en decisiones</v>
      </c>
      <c r="G32" s="33"/>
      <c r="H32" s="34"/>
    </row>
    <row r="33" ht="15.75" customHeight="1">
      <c r="A33" s="84">
        <v>6.0</v>
      </c>
      <c r="B33" s="83" t="str">
        <f>IFERROR(__xludf.DUMMYFUNCTION("""COMPUTED_VALUE"""),"Unidad 2: Los sistemas abstractos diseñados")</f>
        <v>Unidad 2: Los sistemas abstractos diseñados</v>
      </c>
      <c r="C33" s="34"/>
      <c r="D33" s="83" t="str">
        <f>IFERROR(__xludf.DUMMYFUNCTION("""COMPUTED_VALUE"""),"Perspectiva de sistemas abstractos diseñados")</f>
        <v>Perspectiva de sistemas abstractos diseñados</v>
      </c>
      <c r="E33" s="34"/>
      <c r="F33" s="83" t="str">
        <f>IFERROR(__xludf.DUMMYFUNCTION("""COMPUTED_VALUE"""),"Operaciones mentales avanzadas en pensamiento sistémico")</f>
        <v>Operaciones mentales avanzadas en pensamiento sistémico</v>
      </c>
      <c r="G33" s="33"/>
      <c r="H33" s="34"/>
    </row>
    <row r="34" ht="15.75" customHeight="1">
      <c r="A34" s="84">
        <v>7.0</v>
      </c>
      <c r="B34" s="83" t="str">
        <f>IFERROR(__xludf.DUMMYFUNCTION("""COMPUTED_VALUE"""),"Unidad 2: Los sistemas abstractos diseñados")</f>
        <v>Unidad 2: Los sistemas abstractos diseñados</v>
      </c>
      <c r="C34" s="34"/>
      <c r="D34" s="83" t="str">
        <f>IFERROR(__xludf.DUMMYFUNCTION("""COMPUTED_VALUE"""),"Perspectiva de sistemas abstractos diseñados")</f>
        <v>Perspectiva de sistemas abstractos diseñados</v>
      </c>
      <c r="E34" s="34"/>
      <c r="F34" s="83" t="str">
        <f>IFERROR(__xludf.DUMMYFUNCTION("""COMPUTED_VALUE"""),"Interrelaciones entre modelos mentales")</f>
        <v>Interrelaciones entre modelos mentales</v>
      </c>
      <c r="G34" s="33"/>
      <c r="H34" s="34"/>
    </row>
    <row r="35" ht="15.75" customHeight="1">
      <c r="B35" s="106" t="str">
        <f>IFERROR(__xludf.DUMMYFUNCTION("""COMPUTED_VALUE"""),"Unidad 2: Los sistemas abstractos diseñados")</f>
        <v>Unidad 2: Los sistemas abstractos diseñados</v>
      </c>
      <c r="D35" s="106" t="str">
        <f>IFERROR(__xludf.DUMMYFUNCTION("""COMPUTED_VALUE"""),"Perspectiva de sistemas abstractos diseñados")</f>
        <v>Perspectiva de sistemas abstractos diseñados</v>
      </c>
      <c r="F35" s="106" t="str">
        <f>IFERROR(__xludf.DUMMYFUNCTION("""COMPUTED_VALUE"""),"Ejemplos de pensamiento circular")</f>
        <v>Ejemplos de pensamiento circular</v>
      </c>
    </row>
    <row r="36" ht="15.75" customHeight="1">
      <c r="A36" s="103" t="s">
        <v>251</v>
      </c>
      <c r="B36" s="106" t="str">
        <f>IFERROR(__xludf.DUMMYFUNCTION("""COMPUTED_VALUE"""),"Unidad 2: Los sistemas abstractos diseñados")</f>
        <v>Unidad 2: Los sistemas abstractos diseñados</v>
      </c>
      <c r="D36" s="106" t="str">
        <f>IFERROR(__xludf.DUMMYFUNCTION("""COMPUTED_VALUE"""),"Perspectiva de sistemas abstractos diseñados")</f>
        <v>Perspectiva de sistemas abstractos diseñados</v>
      </c>
      <c r="F36" s="106" t="str">
        <f>IFERROR(__xludf.DUMMYFUNCTION("""COMPUTED_VALUE"""),"Ejemplos de retroalimentación")</f>
        <v>Ejemplos de retroalimentación</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20.0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10.0</v>
      </c>
      <c r="E42" s="33"/>
      <c r="F42" s="33"/>
      <c r="G42" s="33"/>
      <c r="H42" s="34"/>
      <c r="I42" s="84" t="str">
        <f t="shared" si="1"/>
        <v>Correcto</v>
      </c>
    </row>
    <row r="43" ht="15.75" customHeight="1"/>
    <row r="44" ht="15.75" customHeight="1">
      <c r="A44" s="100" t="s">
        <v>261</v>
      </c>
      <c r="G44" s="96" t="s">
        <v>196</v>
      </c>
      <c r="H44" s="101">
        <f>B50</f>
        <v>45</v>
      </c>
    </row>
    <row r="45" ht="15.75" customHeight="1">
      <c r="G45" s="89" t="s">
        <v>262</v>
      </c>
    </row>
    <row r="46" ht="15.75" customHeight="1">
      <c r="A46" s="89" t="s">
        <v>263</v>
      </c>
    </row>
    <row r="47">
      <c r="A47" s="91" t="s">
        <v>264</v>
      </c>
      <c r="B47" s="93" t="s">
        <v>98</v>
      </c>
      <c r="C47" s="33"/>
      <c r="D47" s="33"/>
      <c r="E47" s="33"/>
      <c r="F47" s="33"/>
      <c r="G47" s="33"/>
      <c r="H47" s="34"/>
    </row>
    <row r="48" ht="15.75" customHeight="1">
      <c r="A48" s="91" t="s">
        <v>8</v>
      </c>
      <c r="B48" s="93" t="s">
        <v>287</v>
      </c>
      <c r="C48" s="33"/>
      <c r="D48" s="33"/>
      <c r="E48" s="33"/>
      <c r="F48" s="33"/>
      <c r="G48" s="33"/>
      <c r="H48" s="34"/>
    </row>
    <row r="49" ht="15.75" customHeight="1">
      <c r="A49" s="91" t="s">
        <v>234</v>
      </c>
      <c r="B49" s="110">
        <v>1.0</v>
      </c>
      <c r="C49" s="33"/>
      <c r="D49" s="33"/>
      <c r="E49" s="33"/>
      <c r="F49" s="33"/>
      <c r="G49" s="33"/>
      <c r="H49" s="34"/>
    </row>
    <row r="50" ht="15.75" customHeight="1">
      <c r="A50" s="91" t="s">
        <v>196</v>
      </c>
      <c r="B50" s="93">
        <v>45.0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288</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117" t="s">
        <v>289</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5.0</v>
      </c>
      <c r="D5" s="33"/>
      <c r="E5" s="33"/>
      <c r="F5" s="33"/>
      <c r="G5" s="34"/>
    </row>
    <row r="6" ht="15.75" customHeight="1">
      <c r="B6" s="98" t="s">
        <v>193</v>
      </c>
      <c r="C6" s="83">
        <f>H10+H21+H44+H68</f>
        <v>110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93" t="s">
        <v>290</v>
      </c>
      <c r="C12" s="33"/>
      <c r="D12" s="33"/>
      <c r="E12" s="33"/>
      <c r="F12" s="33"/>
      <c r="G12" s="33"/>
      <c r="H12" s="34"/>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291</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292</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50</v>
      </c>
      <c r="I21" s="6"/>
    </row>
    <row r="22" ht="15.75" customHeight="1">
      <c r="G22" s="89" t="s">
        <v>245</v>
      </c>
    </row>
    <row r="23" ht="15.75" customHeight="1">
      <c r="A23" s="91" t="s">
        <v>246</v>
      </c>
      <c r="B23" s="93" t="s">
        <v>125</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2: Los sistemas abstractos diseñados")</f>
        <v>Unidad 2: Los sistemas abstractos diseñados</v>
      </c>
      <c r="C28" s="34"/>
      <c r="D28" s="83" t="str">
        <f>IFERROR(__xludf.DUMMYFUNCTION("FILTER('Diseño'!E:E,'Diseño'!H:H=$C$5)"),"Perspectiva de sistemas abstractos diseñados")</f>
        <v>Perspectiva de sistemas abstractos diseñados</v>
      </c>
      <c r="E28" s="34"/>
      <c r="F28" s="83" t="str">
        <f>IFERROR(__xludf.DUMMYFUNCTION("FILTER('Diseño'!F:F,'Diseño'!H:H=$C$5)"),"Conclusión de los modelos mentales diseñados")</f>
        <v>Conclusión de los modelos mentales diseñados</v>
      </c>
      <c r="G28" s="33"/>
      <c r="H28" s="34"/>
    </row>
    <row r="29" ht="15.75" customHeight="1">
      <c r="A29" s="84">
        <v>2.0</v>
      </c>
      <c r="B29" s="83" t="str">
        <f>IFERROR(__xludf.DUMMYFUNCTION("""COMPUTED_VALUE"""),"Unidad 3: Desarrollando el pensamiento sistémico complejo")</f>
        <v>Unidad 3: Desarrollando el pensamiento sistémico complejo</v>
      </c>
      <c r="C29" s="34"/>
      <c r="D29" s="83" t="str">
        <f>IFERROR(__xludf.DUMMYFUNCTION("""COMPUTED_VALUE"""),"Fundamentos del pensamiento sistémico")</f>
        <v>Fundamentos del pensamiento sistémico</v>
      </c>
      <c r="E29" s="34"/>
      <c r="F29" s="83" t="str">
        <f>IFERROR(__xludf.DUMMYFUNCTION("""COMPUTED_VALUE"""),"Concepto de sistema")</f>
        <v>Concepto de sistema</v>
      </c>
      <c r="G29" s="33"/>
      <c r="H29" s="34"/>
    </row>
    <row r="30" ht="15.75" customHeight="1">
      <c r="A30" s="84">
        <v>3.0</v>
      </c>
      <c r="B30" s="83" t="str">
        <f>IFERROR(__xludf.DUMMYFUNCTION("""COMPUTED_VALUE"""),"Unidad 3: Desarrollando el pensamiento sistémico complejo")</f>
        <v>Unidad 3: Desarrollando el pensamiento sistémico complejo</v>
      </c>
      <c r="C30" s="34"/>
      <c r="D30" s="83" t="str">
        <f>IFERROR(__xludf.DUMMYFUNCTION("""COMPUTED_VALUE"""),"Fundamentos del pensamiento sistémico")</f>
        <v>Fundamentos del pensamiento sistémico</v>
      </c>
      <c r="E30" s="34"/>
      <c r="F30" s="83" t="str">
        <f>IFERROR(__xludf.DUMMYFUNCTION("""COMPUTED_VALUE"""),"Estructura de los sistemas")</f>
        <v>Estructura de los sistemas</v>
      </c>
      <c r="G30" s="33"/>
      <c r="H30" s="34"/>
    </row>
    <row r="31" ht="15.75" customHeight="1">
      <c r="A31" s="84">
        <v>4.0</v>
      </c>
      <c r="B31" s="83" t="str">
        <f>IFERROR(__xludf.DUMMYFUNCTION("""COMPUTED_VALUE"""),"Unidad 3: Desarrollando el pensamiento sistémico complejo")</f>
        <v>Unidad 3: Desarrollando el pensamiento sistémico complejo</v>
      </c>
      <c r="C31" s="34"/>
      <c r="D31" s="83" t="str">
        <f>IFERROR(__xludf.DUMMYFUNCTION("""COMPUTED_VALUE"""),"Fundamentos del pensamiento sistémico")</f>
        <v>Fundamentos del pensamiento sistémico</v>
      </c>
      <c r="E31" s="34"/>
      <c r="F31" s="83" t="str">
        <f>IFERROR(__xludf.DUMMYFUNCTION("""COMPUTED_VALUE"""),"Subsistemas y suprasistemas")</f>
        <v>Subsistemas y suprasistemas</v>
      </c>
      <c r="G31" s="33"/>
      <c r="H31" s="34"/>
    </row>
    <row r="32" ht="15.75" customHeight="1">
      <c r="A32" s="84">
        <v>5.0</v>
      </c>
      <c r="B32" s="83" t="str">
        <f>IFERROR(__xludf.DUMMYFUNCTION("""COMPUTED_VALUE"""),"Unidad 3: Desarrollando el pensamiento sistémico complejo")</f>
        <v>Unidad 3: Desarrollando el pensamiento sistémico complejo</v>
      </c>
      <c r="C32" s="34"/>
      <c r="D32" s="83" t="str">
        <f>IFERROR(__xludf.DUMMYFUNCTION("""COMPUTED_VALUE"""),"Fundamentos del pensamiento sistémico")</f>
        <v>Fundamentos del pensamiento sistémico</v>
      </c>
      <c r="E32" s="34"/>
      <c r="F32" s="83" t="str">
        <f>IFERROR(__xludf.DUMMYFUNCTION("""COMPUTED_VALUE"""),"Sinergia y emergencia en sistemas")</f>
        <v>Sinergia y emergencia en sistemas</v>
      </c>
      <c r="G32" s="33"/>
      <c r="H32" s="34"/>
    </row>
    <row r="33" ht="15.75" customHeight="1">
      <c r="A33" s="84">
        <v>6.0</v>
      </c>
      <c r="B33" s="83" t="str">
        <f>IFERROR(__xludf.DUMMYFUNCTION("""COMPUTED_VALUE"""),"Unidad 3: Desarrollando el pensamiento sistémico complejo")</f>
        <v>Unidad 3: Desarrollando el pensamiento sistémico complejo</v>
      </c>
      <c r="C33" s="34"/>
      <c r="D33" s="83" t="str">
        <f>IFERROR(__xludf.DUMMYFUNCTION("""COMPUTED_VALUE"""),"Fundamentos del pensamiento sistémico")</f>
        <v>Fundamentos del pensamiento sistémico</v>
      </c>
      <c r="E33" s="34"/>
      <c r="F33" s="83" t="str">
        <f>IFERROR(__xludf.DUMMYFUNCTION("""COMPUTED_VALUE"""),"Complejidad sistémica")</f>
        <v>Complejidad sistémica</v>
      </c>
      <c r="G33" s="33"/>
      <c r="H33" s="34"/>
    </row>
    <row r="34" ht="15.75" customHeight="1">
      <c r="A34" s="84">
        <v>7.0</v>
      </c>
      <c r="B34" s="83" t="str">
        <f>IFERROR(__xludf.DUMMYFUNCTION("""COMPUTED_VALUE"""),"Unidad 3: Desarrollando el pensamiento sistémico complejo")</f>
        <v>Unidad 3: Desarrollando el pensamiento sistémico complejo</v>
      </c>
      <c r="C34" s="34"/>
      <c r="D34" s="83" t="str">
        <f>IFERROR(__xludf.DUMMYFUNCTION("""COMPUTED_VALUE"""),"Fundamentos del pensamiento sistémico")</f>
        <v>Fundamentos del pensamiento sistémico</v>
      </c>
      <c r="E34" s="34"/>
      <c r="F34" s="83" t="str">
        <f>IFERROR(__xludf.DUMMYFUNCTION("""COMPUTED_VALUE"""),"El universo como conjunto de sistemas")</f>
        <v>El universo como conjunto de sistemas</v>
      </c>
      <c r="G34" s="33"/>
      <c r="H34" s="34"/>
    </row>
    <row r="35" ht="15.75" customHeight="1">
      <c r="B35" s="106" t="str">
        <f>IFERROR(__xludf.DUMMYFUNCTION("""COMPUTED_VALUE"""),"Unidad 3: Desarrollando el pensamiento sistémico complejo")</f>
        <v>Unidad 3: Desarrollando el pensamiento sistémico complejo</v>
      </c>
      <c r="D35" s="106" t="str">
        <f>IFERROR(__xludf.DUMMYFUNCTION("""COMPUTED_VALUE"""),"Fundamentos del pensamiento sistémico")</f>
        <v>Fundamentos del pensamiento sistémico</v>
      </c>
      <c r="F35" s="106" t="str">
        <f>IFERROR(__xludf.DUMMYFUNCTION("""COMPUTED_VALUE"""),"Ejemplos de sistemas naturales")</f>
        <v>Ejemplos de sistemas naturales</v>
      </c>
    </row>
    <row r="36" ht="15.75" customHeight="1">
      <c r="A36" s="103" t="s">
        <v>251</v>
      </c>
      <c r="B36" s="106" t="str">
        <f>IFERROR(__xludf.DUMMYFUNCTION("""COMPUTED_VALUE"""),"Unidad 3: Desarrollando el pensamiento sistémico complejo")</f>
        <v>Unidad 3: Desarrollando el pensamiento sistémico complejo</v>
      </c>
      <c r="D36" s="106" t="str">
        <f>IFERROR(__xludf.DUMMYFUNCTION("""COMPUTED_VALUE"""),"Clasificación de sistemas")</f>
        <v>Clasificación de sistemas</v>
      </c>
      <c r="F36" s="106" t="str">
        <f>IFERROR(__xludf.DUMMYFUNCTION("""COMPUTED_VALUE"""),"Sistemas físicos diseñados")</f>
        <v>Sistemas físicos diseñados</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25.0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15.0</v>
      </c>
      <c r="E42" s="33"/>
      <c r="F42" s="33"/>
      <c r="G42" s="33"/>
      <c r="H42" s="34"/>
      <c r="I42" s="84" t="str">
        <f t="shared" si="1"/>
        <v>Correcto</v>
      </c>
    </row>
    <row r="43" ht="15.75" customHeight="1"/>
    <row r="44" ht="15.75" customHeight="1">
      <c r="A44" s="100" t="s">
        <v>261</v>
      </c>
      <c r="G44" s="96" t="s">
        <v>196</v>
      </c>
      <c r="H44" s="101">
        <f>B50</f>
        <v>45</v>
      </c>
    </row>
    <row r="45" ht="15.75" customHeight="1">
      <c r="G45" s="89" t="s">
        <v>262</v>
      </c>
    </row>
    <row r="46" ht="15.75" customHeight="1">
      <c r="A46" s="89" t="s">
        <v>263</v>
      </c>
    </row>
    <row r="47">
      <c r="A47" s="91" t="s">
        <v>264</v>
      </c>
      <c r="B47" s="93" t="s">
        <v>125</v>
      </c>
      <c r="C47" s="33"/>
      <c r="D47" s="33"/>
      <c r="E47" s="33"/>
      <c r="F47" s="33"/>
      <c r="G47" s="33"/>
      <c r="H47" s="34"/>
    </row>
    <row r="48" ht="15.75" customHeight="1">
      <c r="A48" s="91" t="s">
        <v>8</v>
      </c>
      <c r="B48" s="93" t="s">
        <v>266</v>
      </c>
      <c r="C48" s="33"/>
      <c r="D48" s="33"/>
      <c r="E48" s="33"/>
      <c r="F48" s="33"/>
      <c r="G48" s="33"/>
      <c r="H48" s="34"/>
    </row>
    <row r="49" ht="15.75" customHeight="1">
      <c r="A49" s="91" t="s">
        <v>234</v>
      </c>
      <c r="B49" s="110">
        <v>1.0</v>
      </c>
      <c r="C49" s="33"/>
      <c r="D49" s="33"/>
      <c r="E49" s="33"/>
      <c r="F49" s="33"/>
      <c r="G49" s="33"/>
      <c r="H49" s="34"/>
    </row>
    <row r="50" ht="15.75" customHeight="1">
      <c r="A50" s="91" t="s">
        <v>196</v>
      </c>
      <c r="B50" s="93">
        <v>45.0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293</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93"/>
      <c r="C58" s="33"/>
      <c r="D58" s="33"/>
      <c r="E58" s="33"/>
      <c r="F58" s="33"/>
      <c r="G58" s="33"/>
      <c r="H58" s="34"/>
    </row>
    <row r="59" ht="15.75" customHeight="1">
      <c r="A59" s="91" t="s">
        <v>8</v>
      </c>
      <c r="B59" s="40"/>
      <c r="C59" s="33"/>
      <c r="D59" s="33"/>
      <c r="E59" s="33"/>
      <c r="F59" s="33"/>
      <c r="G59" s="33"/>
      <c r="H59" s="34"/>
    </row>
    <row r="60" ht="15.75" customHeight="1">
      <c r="A60" s="91" t="s">
        <v>234</v>
      </c>
      <c r="B60" s="110">
        <v>0.0</v>
      </c>
      <c r="C60" s="33"/>
      <c r="D60" s="33"/>
      <c r="E60" s="33"/>
      <c r="F60" s="33"/>
      <c r="G60" s="33"/>
      <c r="H60" s="34"/>
    </row>
    <row r="61" ht="15.75" customHeight="1">
      <c r="A61" s="91" t="s">
        <v>196</v>
      </c>
      <c r="B61" s="110">
        <v>10.0</v>
      </c>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63" t="s">
        <v>294</v>
      </c>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295</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6.0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93" t="s">
        <v>296</v>
      </c>
      <c r="C12" s="33"/>
      <c r="D12" s="33"/>
      <c r="E12" s="33"/>
      <c r="F12" s="33"/>
      <c r="G12" s="33"/>
      <c r="H12" s="34"/>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297</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298</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55</v>
      </c>
      <c r="I21" s="6"/>
    </row>
    <row r="22" ht="15.75" customHeight="1">
      <c r="G22" s="89" t="s">
        <v>245</v>
      </c>
    </row>
    <row r="23" ht="15.75" customHeight="1">
      <c r="A23" s="91" t="s">
        <v>246</v>
      </c>
      <c r="B23" s="93" t="s">
        <v>125</v>
      </c>
      <c r="C23" s="33"/>
      <c r="D23" s="33"/>
      <c r="E23" s="33"/>
      <c r="F23" s="33"/>
      <c r="G23" s="33"/>
      <c r="H23" s="34"/>
    </row>
    <row r="24" ht="15.75" customHeight="1">
      <c r="A24" s="91" t="s">
        <v>246</v>
      </c>
      <c r="B24" s="93" t="s">
        <v>78</v>
      </c>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3: Desarrollando el pensamiento sistémico complejo")</f>
        <v>Unidad 3: Desarrollando el pensamiento sistémico complejo</v>
      </c>
      <c r="C28" s="34"/>
      <c r="D28" s="83" t="str">
        <f>IFERROR(__xludf.DUMMYFUNCTION("FILTER('Diseño'!E:E,'Diseño'!H:H=$C$5)"),"Clasificación de sistemas")</f>
        <v>Clasificación de sistemas</v>
      </c>
      <c r="E28" s="34"/>
      <c r="F28" s="83" t="str">
        <f>IFERROR(__xludf.DUMMYFUNCTION("FILTER('Diseño'!F:F,'Diseño'!H:H=$C$5)"),"Sistemas abstractos diseñados")</f>
        <v>Sistemas abstractos diseñados</v>
      </c>
      <c r="G28" s="33"/>
      <c r="H28" s="34"/>
    </row>
    <row r="29" ht="15.75" customHeight="1">
      <c r="A29" s="84">
        <v>2.0</v>
      </c>
      <c r="B29" s="83" t="str">
        <f>IFERROR(__xludf.DUMMYFUNCTION("""COMPUTED_VALUE"""),"Unidad 3: Desarrollando el pensamiento sistémico complejo")</f>
        <v>Unidad 3: Desarrollando el pensamiento sistémico complejo</v>
      </c>
      <c r="C29" s="34"/>
      <c r="D29" s="83" t="str">
        <f>IFERROR(__xludf.DUMMYFUNCTION("""COMPUTED_VALUE"""),"Clasificación de sistemas")</f>
        <v>Clasificación de sistemas</v>
      </c>
      <c r="E29" s="34"/>
      <c r="F29" s="83" t="str">
        <f>IFERROR(__xludf.DUMMYFUNCTION("""COMPUTED_VALUE"""),"Sistemas de actividad humana")</f>
        <v>Sistemas de actividad humana</v>
      </c>
      <c r="G29" s="33"/>
      <c r="H29" s="34"/>
    </row>
    <row r="30" ht="15.75" customHeight="1">
      <c r="A30" s="84">
        <v>3.0</v>
      </c>
      <c r="B30" s="83" t="str">
        <f>IFERROR(__xludf.DUMMYFUNCTION("""COMPUTED_VALUE"""),"Unidad 3: Desarrollando el pensamiento sistémico complejo")</f>
        <v>Unidad 3: Desarrollando el pensamiento sistémico complejo</v>
      </c>
      <c r="C30" s="34"/>
      <c r="D30" s="83" t="str">
        <f>IFERROR(__xludf.DUMMYFUNCTION("""COMPUTED_VALUE"""),"Clasificación de sistemas")</f>
        <v>Clasificación de sistemas</v>
      </c>
      <c r="E30" s="34"/>
      <c r="F30" s="83" t="str">
        <f>IFERROR(__xludf.DUMMYFUNCTION("""COMPUTED_VALUE"""),"Diferencias entre sistemas naturales y diseñados")</f>
        <v>Diferencias entre sistemas naturales y diseñados</v>
      </c>
      <c r="G30" s="33"/>
      <c r="H30" s="34"/>
    </row>
    <row r="31" ht="15.75" customHeight="1">
      <c r="A31" s="84">
        <v>4.0</v>
      </c>
      <c r="B31" s="83" t="str">
        <f>IFERROR(__xludf.DUMMYFUNCTION("""COMPUTED_VALUE"""),"Unidad 3: Desarrollando el pensamiento sistémico complejo")</f>
        <v>Unidad 3: Desarrollando el pensamiento sistémico complejo</v>
      </c>
      <c r="C31" s="34"/>
      <c r="D31" s="83" t="str">
        <f>IFERROR(__xludf.DUMMYFUNCTION("""COMPUTED_VALUE"""),"Clasificación de sistemas")</f>
        <v>Clasificación de sistemas</v>
      </c>
      <c r="E31" s="34"/>
      <c r="F31" s="83" t="str">
        <f>IFERROR(__xludf.DUMMYFUNCTION("""COMPUTED_VALUE"""),"Sistemas complejos adaptativos")</f>
        <v>Sistemas complejos adaptativos</v>
      </c>
      <c r="G31" s="33"/>
      <c r="H31" s="34"/>
    </row>
    <row r="32" ht="15.75" customHeight="1">
      <c r="A32" s="84">
        <v>5.0</v>
      </c>
      <c r="B32" s="83" t="str">
        <f>IFERROR(__xludf.DUMMYFUNCTION("""COMPUTED_VALUE"""),"Unidad 3: Desarrollando el pensamiento sistémico complejo")</f>
        <v>Unidad 3: Desarrollando el pensamiento sistémico complejo</v>
      </c>
      <c r="C32" s="34"/>
      <c r="D32" s="83" t="str">
        <f>IFERROR(__xludf.DUMMYFUNCTION("""COMPUTED_VALUE"""),"Clasificación de sistemas")</f>
        <v>Clasificación de sistemas</v>
      </c>
      <c r="E32" s="34"/>
      <c r="F32" s="83" t="str">
        <f>IFERROR(__xludf.DUMMYFUNCTION("""COMPUTED_VALUE"""),"Características de sistemas de actividad humana")</f>
        <v>Características de sistemas de actividad humana</v>
      </c>
      <c r="G32" s="33"/>
      <c r="H32" s="34"/>
    </row>
    <row r="33" ht="15.75" customHeight="1">
      <c r="A33" s="84">
        <v>6.0</v>
      </c>
      <c r="B33" s="83" t="str">
        <f>IFERROR(__xludf.DUMMYFUNCTION("""COMPUTED_VALUE"""),"Unidad 3: Desarrollando el pensamiento sistémico complejo")</f>
        <v>Unidad 3: Desarrollando el pensamiento sistémico complejo</v>
      </c>
      <c r="C33" s="34"/>
      <c r="D33" s="83" t="str">
        <f>IFERROR(__xludf.DUMMYFUNCTION("""COMPUTED_VALUE"""),"Clasificación de sistemas")</f>
        <v>Clasificación de sistemas</v>
      </c>
      <c r="E33" s="34"/>
      <c r="F33" s="83" t="str">
        <f>IFERROR(__xludf.DUMMYFUNCTION("""COMPUTED_VALUE"""),"Ejemplos de interacciones entre sistemas")</f>
        <v>Ejemplos de interacciones entre sistemas</v>
      </c>
      <c r="G33" s="33"/>
      <c r="H33" s="34"/>
    </row>
    <row r="34" ht="15.75" customHeight="1">
      <c r="A34" s="84">
        <v>7.0</v>
      </c>
      <c r="B34" s="83" t="str">
        <f>IFERROR(__xludf.DUMMYFUNCTION("""COMPUTED_VALUE"""),"Unidad 3: Desarrollando el pensamiento sistémico complejo")</f>
        <v>Unidad 3: Desarrollando el pensamiento sistémico complejo</v>
      </c>
      <c r="C34" s="34"/>
      <c r="D34" s="83" t="str">
        <f>IFERROR(__xludf.DUMMYFUNCTION("""COMPUTED_VALUE"""),"Niveles de perspectiva")</f>
        <v>Niveles de perspectiva</v>
      </c>
      <c r="E34" s="34"/>
      <c r="F34" s="83" t="str">
        <f>IFERROR(__xludf.DUMMYFUNCTION("""COMPUTED_VALUE"""),"Modelo del iceberg")</f>
        <v>Modelo del iceberg</v>
      </c>
      <c r="G34" s="33"/>
      <c r="H34" s="34"/>
    </row>
    <row r="35" ht="15.75" customHeight="1">
      <c r="B35" s="106" t="str">
        <f>IFERROR(__xludf.DUMMYFUNCTION("""COMPUTED_VALUE"""),"Unidad 3: Desarrollando el pensamiento sistémico complejo")</f>
        <v>Unidad 3: Desarrollando el pensamiento sistémico complejo</v>
      </c>
      <c r="D35" s="106" t="str">
        <f>IFERROR(__xludf.DUMMYFUNCTION("""COMPUTED_VALUE"""),"Niveles de perspectiva")</f>
        <v>Niveles de perspectiva</v>
      </c>
      <c r="F35" s="106" t="str">
        <f>IFERROR(__xludf.DUMMYFUNCTION("""COMPUTED_VALUE"""),"Interpretación de niveles de percepción")</f>
        <v>Interpretación de niveles de percepción</v>
      </c>
    </row>
    <row r="36" ht="15.75" customHeight="1">
      <c r="A36" s="103" t="s">
        <v>251</v>
      </c>
      <c r="B36" s="106" t="str">
        <f>IFERROR(__xludf.DUMMYFUNCTION("""COMPUTED_VALUE"""),"Unidad 3: Desarrollando el pensamiento sistémico complejo")</f>
        <v>Unidad 3: Desarrollando el pensamiento sistémico complejo</v>
      </c>
      <c r="D36" s="106" t="str">
        <f>IFERROR(__xludf.DUMMYFUNCTION("""COMPUTED_VALUE"""),"Niveles de perspectiva")</f>
        <v>Niveles de perspectiva</v>
      </c>
      <c r="F36" s="106" t="str">
        <f>IFERROR(__xludf.DUMMYFUNCTION("""COMPUTED_VALUE"""),"Impacto de la percepción en el pensamiento sistémico")</f>
        <v>Impacto de la percepción en el pensamiento sistémico</v>
      </c>
    </row>
    <row r="37" ht="15.75" customHeight="1">
      <c r="A37" s="6"/>
      <c r="B37" s="6" t="str">
        <f>IFERROR(__xludf.DUMMYFUNCTION("""COMPUTED_VALUE"""),"Unidad 3: Desarrollando el pensamiento sistémico complejo")</f>
        <v>Unidad 3: Desarrollando el pensamiento sistémico complejo</v>
      </c>
      <c r="C37" s="6"/>
      <c r="D37" s="6" t="str">
        <f>IFERROR(__xludf.DUMMYFUNCTION("""COMPUTED_VALUE"""),"Niveles de perspectiva")</f>
        <v>Niveles de perspectiva</v>
      </c>
      <c r="E37" s="6"/>
      <c r="F37" s="6" t="str">
        <f>IFERROR(__xludf.DUMMYFUNCTION("""COMPUTED_VALUE"""),"Ejemplos de interpretación de sistemas")</f>
        <v>Ejemplos de interpretación de sistemas</v>
      </c>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30.0</v>
      </c>
      <c r="E42" s="33"/>
      <c r="F42" s="33"/>
      <c r="G42" s="33"/>
      <c r="H42" s="34"/>
      <c r="I42" s="84" t="str">
        <f t="shared" si="1"/>
        <v>Correcto</v>
      </c>
    </row>
    <row r="43" ht="15.75" customHeight="1"/>
    <row r="44" ht="15.75" customHeight="1">
      <c r="A44" s="100" t="s">
        <v>261</v>
      </c>
      <c r="G44" s="96" t="s">
        <v>196</v>
      </c>
      <c r="H44" s="101">
        <f>B50</f>
        <v>30</v>
      </c>
    </row>
    <row r="45" ht="15.75" customHeight="1">
      <c r="G45" s="89" t="s">
        <v>262</v>
      </c>
    </row>
    <row r="46" ht="15.75" customHeight="1">
      <c r="A46" s="89" t="s">
        <v>263</v>
      </c>
    </row>
    <row r="47">
      <c r="A47" s="91" t="s">
        <v>264</v>
      </c>
      <c r="B47" s="93" t="s">
        <v>125</v>
      </c>
      <c r="C47" s="33"/>
      <c r="D47" s="33"/>
      <c r="E47" s="33"/>
      <c r="F47" s="33"/>
      <c r="G47" s="33"/>
      <c r="H47" s="34"/>
    </row>
    <row r="48" ht="15.75" customHeight="1">
      <c r="A48" s="91" t="s">
        <v>8</v>
      </c>
      <c r="B48" s="93" t="s">
        <v>266</v>
      </c>
      <c r="C48" s="33"/>
      <c r="D48" s="33"/>
      <c r="E48" s="33"/>
      <c r="F48" s="33"/>
      <c r="G48" s="33"/>
      <c r="H48" s="34"/>
    </row>
    <row r="49" ht="15.75" customHeight="1">
      <c r="A49" s="91" t="s">
        <v>234</v>
      </c>
      <c r="B49" s="110">
        <v>1.0</v>
      </c>
      <c r="C49" s="33"/>
      <c r="D49" s="33"/>
      <c r="E49" s="33"/>
      <c r="F49" s="33"/>
      <c r="G49" s="33"/>
      <c r="H49" s="34"/>
    </row>
    <row r="50" ht="15.75" customHeight="1">
      <c r="A50" s="91" t="s">
        <v>196</v>
      </c>
      <c r="B50" s="93">
        <v>30.0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299</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118" t="s">
        <v>300</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7.0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119" t="s">
        <v>301</v>
      </c>
      <c r="C12" s="120"/>
      <c r="D12" s="120"/>
      <c r="E12" s="120"/>
      <c r="F12" s="120"/>
      <c r="G12" s="120"/>
      <c r="H12" s="121"/>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302</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117" t="s">
        <v>303</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50</v>
      </c>
      <c r="I21" s="6"/>
    </row>
    <row r="22" ht="15.75" customHeight="1">
      <c r="G22" s="89" t="s">
        <v>245</v>
      </c>
    </row>
    <row r="23" ht="15.75" customHeight="1">
      <c r="A23" s="91" t="s">
        <v>246</v>
      </c>
      <c r="B23" s="93" t="s">
        <v>98</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3: Desarrollando el pensamiento sistémico complejo")</f>
        <v>Unidad 3: Desarrollando el pensamiento sistémico complejo</v>
      </c>
      <c r="C28" s="34"/>
      <c r="D28" s="83" t="str">
        <f>IFERROR(__xludf.DUMMYFUNCTION("FILTER('Diseño'!E:E,'Diseño'!H:H=$C$5)"),"Niveles de perspectiva")</f>
        <v>Niveles de perspectiva</v>
      </c>
      <c r="E28" s="34"/>
      <c r="F28" s="83" t="str">
        <f>IFERROR(__xludf.DUMMYFUNCTION("FILTER('Diseño'!F:F,'Diseño'!H:H=$C$5)"),"Cambio de perspectiva en análisis sistémico")</f>
        <v>Cambio de perspectiva en análisis sistémico</v>
      </c>
      <c r="G28" s="33"/>
      <c r="H28" s="34"/>
    </row>
    <row r="29" ht="15.75" customHeight="1">
      <c r="A29" s="84">
        <v>2.0</v>
      </c>
      <c r="B29" s="83" t="str">
        <f>IFERROR(__xludf.DUMMYFUNCTION("""COMPUTED_VALUE"""),"Unidad 3: Desarrollando el pensamiento sistémico complejo")</f>
        <v>Unidad 3: Desarrollando el pensamiento sistémico complejo</v>
      </c>
      <c r="C29" s="34"/>
      <c r="D29" s="83" t="str">
        <f>IFERROR(__xludf.DUMMYFUNCTION("""COMPUTED_VALUE"""),"Niveles de perspectiva")</f>
        <v>Niveles de perspectiva</v>
      </c>
      <c r="E29" s="34"/>
      <c r="F29" s="83" t="str">
        <f>IFERROR(__xludf.DUMMYFUNCTION("""COMPUTED_VALUE"""),"Impacto del cambio de nivel de percepción")</f>
        <v>Impacto del cambio de nivel de percepción</v>
      </c>
      <c r="G29" s="33"/>
      <c r="H29" s="34"/>
    </row>
    <row r="30" ht="15.75" customHeight="1">
      <c r="A30" s="84">
        <v>3.0</v>
      </c>
      <c r="B30" s="83" t="str">
        <f>IFERROR(__xludf.DUMMYFUNCTION("""COMPUTED_VALUE"""),"Unidad 3: Desarrollando el pensamiento sistémico complejo")</f>
        <v>Unidad 3: Desarrollando el pensamiento sistémico complejo</v>
      </c>
      <c r="C30" s="34"/>
      <c r="D30" s="83" t="str">
        <f>IFERROR(__xludf.DUMMYFUNCTION("""COMPUTED_VALUE"""),"Niveles de perspectiva")</f>
        <v>Niveles de perspectiva</v>
      </c>
      <c r="E30" s="34"/>
      <c r="F30" s="83" t="str">
        <f>IFERROR(__xludf.DUMMYFUNCTION("""COMPUTED_VALUE"""),"Ejemplos de interacción entre niveles de perspectiva")</f>
        <v>Ejemplos de interacción entre niveles de perspectiva</v>
      </c>
      <c r="G30" s="33"/>
      <c r="H30" s="34"/>
    </row>
    <row r="31" ht="15.75" customHeight="1">
      <c r="A31" s="84">
        <v>4.0</v>
      </c>
      <c r="B31" s="83" t="str">
        <f>IFERROR(__xludf.DUMMYFUNCTION("""COMPUTED_VALUE"""),"Unidad 3: Desarrollando el pensamiento sistémico complejo")</f>
        <v>Unidad 3: Desarrollando el pensamiento sistémico complejo</v>
      </c>
      <c r="C31" s="34"/>
      <c r="D31" s="83" t="str">
        <f>IFERROR(__xludf.DUMMYFUNCTION("""COMPUTED_VALUE"""),"Hábitos de un pensador sistémico")</f>
        <v>Hábitos de un pensador sistémico</v>
      </c>
      <c r="E31" s="34"/>
      <c r="F31" s="83" t="str">
        <f>IFERROR(__xludf.DUMMYFUNCTION("""COMPUTED_VALUE"""),"Introducción a los hábitos de un pensador sistémico")</f>
        <v>Introducción a los hábitos de un pensador sistémico</v>
      </c>
      <c r="G31" s="33"/>
      <c r="H31" s="34"/>
    </row>
    <row r="32" ht="15.75" customHeight="1">
      <c r="A32" s="84">
        <v>5.0</v>
      </c>
      <c r="B32" s="83" t="str">
        <f>IFERROR(__xludf.DUMMYFUNCTION("""COMPUTED_VALUE"""),"Unidad 3: Desarrollando el pensamiento sistémico complejo")</f>
        <v>Unidad 3: Desarrollando el pensamiento sistémico complejo</v>
      </c>
      <c r="C32" s="34"/>
      <c r="D32" s="83" t="str">
        <f>IFERROR(__xludf.DUMMYFUNCTION("""COMPUTED_VALUE"""),"Hábitos de un pensador sistémico")</f>
        <v>Hábitos de un pensador sistémico</v>
      </c>
      <c r="E32" s="34"/>
      <c r="F32" s="83" t="str">
        <f>IFERROR(__xludf.DUMMYFUNCTION("""COMPUTED_VALUE"""),"Ejemplos de hábitos de pensamiento sistémico")</f>
        <v>Ejemplos de hábitos de pensamiento sistémico</v>
      </c>
      <c r="G32" s="33"/>
      <c r="H32" s="34"/>
    </row>
    <row r="33" ht="15.75" customHeight="1">
      <c r="A33" s="84">
        <v>6.0</v>
      </c>
      <c r="B33" s="83" t="str">
        <f>IFERROR(__xludf.DUMMYFUNCTION("""COMPUTED_VALUE"""),"Unidad 3: Desarrollando el pensamiento sistémico complejo")</f>
        <v>Unidad 3: Desarrollando el pensamiento sistémico complejo</v>
      </c>
      <c r="C33" s="34"/>
      <c r="D33" s="83" t="str">
        <f>IFERROR(__xludf.DUMMYFUNCTION("""COMPUTED_VALUE"""),"Hábitos de un pensador sistémico")</f>
        <v>Hábitos de un pensador sistémico</v>
      </c>
      <c r="E33" s="34"/>
      <c r="F33" s="83" t="str">
        <f>IFERROR(__xludf.DUMMYFUNCTION("""COMPUTED_VALUE"""),"Aplicación de hábitos en la vida diaria")</f>
        <v>Aplicación de hábitos en la vida diaria</v>
      </c>
      <c r="G33" s="33"/>
      <c r="H33" s="34"/>
    </row>
    <row r="34" ht="15.75" customHeight="1">
      <c r="A34" s="84">
        <v>7.0</v>
      </c>
      <c r="B34" s="83" t="str">
        <f>IFERROR(__xludf.DUMMYFUNCTION("""COMPUTED_VALUE"""),"Unidad 3: Desarrollando el pensamiento sistémico complejo")</f>
        <v>Unidad 3: Desarrollando el pensamiento sistémico complejo</v>
      </c>
      <c r="C34" s="34"/>
      <c r="D34" s="83" t="str">
        <f>IFERROR(__xludf.DUMMYFUNCTION("""COMPUTED_VALUE"""),"Hábitos de un pensador sistémico")</f>
        <v>Hábitos de un pensador sistémico</v>
      </c>
      <c r="E34" s="34"/>
      <c r="F34" s="83" t="str">
        <f>IFERROR(__xludf.DUMMYFUNCTION("""COMPUTED_VALUE"""),"Relación entre hábitos y toma de decisiones")</f>
        <v>Relación entre hábitos y toma de decisiones</v>
      </c>
      <c r="G34" s="33"/>
      <c r="H34" s="34"/>
    </row>
    <row r="35" ht="15.75" customHeight="1">
      <c r="B35" s="106" t="str">
        <f>IFERROR(__xludf.DUMMYFUNCTION("""COMPUTED_VALUE"""),"Unidad 3: Desarrollando el pensamiento sistémico complejo")</f>
        <v>Unidad 3: Desarrollando el pensamiento sistémico complejo</v>
      </c>
      <c r="D35" s="106" t="str">
        <f>IFERROR(__xludf.DUMMYFUNCTION("""COMPUTED_VALUE"""),"Hábitos de un pensador sistémico")</f>
        <v>Hábitos de un pensador sistémico</v>
      </c>
      <c r="F35" s="106" t="str">
        <f>IFERROR(__xludf.DUMMYFUNCTION("""COMPUTED_VALUE"""),"Mejora de habilidades de pensamiento sistémico")</f>
        <v>Mejora de habilidades de pensamiento sistémico</v>
      </c>
    </row>
    <row r="36" ht="15.75" customHeight="1">
      <c r="A36" s="103" t="s">
        <v>251</v>
      </c>
      <c r="B36" s="106" t="str">
        <f>IFERROR(__xludf.DUMMYFUNCTION("""COMPUTED_VALUE"""),"Unidad 3: Desarrollando el pensamiento sistémico complejo")</f>
        <v>Unidad 3: Desarrollando el pensamiento sistémico complejo</v>
      </c>
      <c r="D36" s="106" t="str">
        <f>IFERROR(__xludf.DUMMYFUNCTION("""COMPUTED_VALUE"""),"Hábitos de un pensador sistémico")</f>
        <v>Hábitos de un pensador sistémico</v>
      </c>
      <c r="F36" s="106" t="str">
        <f>IFERROR(__xludf.DUMMYFUNCTION("""COMPUTED_VALUE"""),"Desarrollo de la perspectiva a largo plazo")</f>
        <v>Desarrollo de la perspectiva a largo plazo</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25.0</v>
      </c>
      <c r="E42" s="33"/>
      <c r="F42" s="33"/>
      <c r="G42" s="33"/>
      <c r="H42" s="34"/>
      <c r="I42" s="84" t="str">
        <f t="shared" si="1"/>
        <v>Correcto</v>
      </c>
    </row>
    <row r="43" ht="15.75" customHeight="1"/>
    <row r="44" ht="15.75" customHeight="1">
      <c r="A44" s="100" t="s">
        <v>261</v>
      </c>
      <c r="G44" s="96" t="s">
        <v>196</v>
      </c>
      <c r="H44" s="101">
        <f>B50</f>
        <v>35</v>
      </c>
    </row>
    <row r="45" ht="15.75" customHeight="1">
      <c r="G45" s="89" t="s">
        <v>262</v>
      </c>
    </row>
    <row r="46" ht="15.75" customHeight="1">
      <c r="A46" s="89" t="s">
        <v>263</v>
      </c>
    </row>
    <row r="47">
      <c r="A47" s="91" t="s">
        <v>264</v>
      </c>
      <c r="B47" s="93" t="s">
        <v>98</v>
      </c>
      <c r="C47" s="33"/>
      <c r="D47" s="33"/>
      <c r="E47" s="33"/>
      <c r="F47" s="33"/>
      <c r="G47" s="33"/>
      <c r="H47" s="34"/>
    </row>
    <row r="48" ht="15.75" customHeight="1">
      <c r="A48" s="91" t="s">
        <v>8</v>
      </c>
      <c r="B48" s="93" t="s">
        <v>281</v>
      </c>
      <c r="C48" s="33"/>
      <c r="D48" s="33"/>
      <c r="E48" s="33"/>
      <c r="F48" s="33"/>
      <c r="G48" s="33"/>
      <c r="H48" s="34"/>
    </row>
    <row r="49" ht="15.75" customHeight="1">
      <c r="A49" s="91" t="s">
        <v>234</v>
      </c>
      <c r="B49" s="110">
        <v>1.0</v>
      </c>
      <c r="C49" s="33"/>
      <c r="D49" s="33"/>
      <c r="E49" s="33"/>
      <c r="F49" s="33"/>
      <c r="G49" s="33"/>
      <c r="H49" s="34"/>
    </row>
    <row r="50" ht="15.75" customHeight="1">
      <c r="A50" s="91" t="s">
        <v>196</v>
      </c>
      <c r="B50" s="93">
        <v>35.0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304</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118" t="s">
        <v>305</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8.0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93" t="s">
        <v>306</v>
      </c>
      <c r="C12" s="33"/>
      <c r="D12" s="33"/>
      <c r="E12" s="33"/>
      <c r="F12" s="33"/>
      <c r="G12" s="33"/>
      <c r="H12" s="34"/>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307</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117" t="s">
        <v>308</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55</v>
      </c>
      <c r="I21" s="6"/>
    </row>
    <row r="22" ht="15.75" customHeight="1">
      <c r="G22" s="89" t="s">
        <v>245</v>
      </c>
    </row>
    <row r="23" ht="15.75" customHeight="1">
      <c r="A23" s="91" t="s">
        <v>246</v>
      </c>
      <c r="B23" s="93" t="s">
        <v>125</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3: Desarrollando el pensamiento sistémico complejo")</f>
        <v>Unidad 3: Desarrollando el pensamiento sistémico complejo</v>
      </c>
      <c r="C28" s="34"/>
      <c r="D28" s="83" t="str">
        <f>IFERROR(__xludf.DUMMYFUNCTION("FILTER('Diseño'!E:E,'Diseño'!H:H=$C$5)"),"Hábitos de un pensador sistémico")</f>
        <v>Hábitos de un pensador sistémico</v>
      </c>
      <c r="E28" s="34"/>
      <c r="F28" s="83" t="str">
        <f>IFERROR(__xludf.DUMMYFUNCTION("FILTER('Diseño'!F:F,'Diseño'!H:H=$C$5)"),"Casos de estudio")</f>
        <v>Casos de estudio</v>
      </c>
      <c r="G28" s="33"/>
      <c r="H28" s="34"/>
    </row>
    <row r="29" ht="15.75" customHeight="1">
      <c r="A29" s="84">
        <v>2.0</v>
      </c>
      <c r="B29" s="83" t="str">
        <f>IFERROR(__xludf.DUMMYFUNCTION("""COMPUTED_VALUE"""),"Unidad 4: Modelación y simulación dinámica de sistemas")</f>
        <v>Unidad 4: Modelación y simulación dinámica de sistemas</v>
      </c>
      <c r="C29" s="34"/>
      <c r="D29" s="83" t="str">
        <f>IFERROR(__xludf.DUMMYFUNCTION("""COMPUTED_VALUE"""),"Modelación de sistemas con mapas sistémicos")</f>
        <v>Modelación de sistemas con mapas sistémicos</v>
      </c>
      <c r="E29" s="34"/>
      <c r="F29" s="83" t="str">
        <f>IFERROR(__xludf.DUMMYFUNCTION("""COMPUTED_VALUE"""),"Introducción a los mapas sistémicos")</f>
        <v>Introducción a los mapas sistémicos</v>
      </c>
      <c r="G29" s="33"/>
      <c r="H29" s="34"/>
    </row>
    <row r="30" ht="15.75" customHeight="1">
      <c r="A30" s="84">
        <v>3.0</v>
      </c>
      <c r="B30" s="83" t="str">
        <f>IFERROR(__xludf.DUMMYFUNCTION("""COMPUTED_VALUE"""),"Unidad 4: Modelación y simulación dinámica de sistemas")</f>
        <v>Unidad 4: Modelación y simulación dinámica de sistemas</v>
      </c>
      <c r="C30" s="34"/>
      <c r="D30" s="83" t="str">
        <f>IFERROR(__xludf.DUMMYFUNCTION("""COMPUTED_VALUE"""),"Modelación de sistemas con mapas sistémicos")</f>
        <v>Modelación de sistemas con mapas sistémicos</v>
      </c>
      <c r="E30" s="34"/>
      <c r="F30" s="83" t="str">
        <f>IFERROR(__xludf.DUMMYFUNCTION("""COMPUTED_VALUE"""),"Mapas DSRP")</f>
        <v>Mapas DSRP</v>
      </c>
      <c r="G30" s="33"/>
      <c r="H30" s="34"/>
    </row>
    <row r="31" ht="15.75" customHeight="1">
      <c r="A31" s="84">
        <v>4.0</v>
      </c>
      <c r="B31" s="83" t="str">
        <f>IFERROR(__xludf.DUMMYFUNCTION("""COMPUTED_VALUE"""),"Unidad 4: Modelación y simulación dinámica de sistemas")</f>
        <v>Unidad 4: Modelación y simulación dinámica de sistemas</v>
      </c>
      <c r="C31" s="34"/>
      <c r="D31" s="83" t="str">
        <f>IFERROR(__xludf.DUMMYFUNCTION("""COMPUTED_VALUE"""),"Modelación de sistemas con mapas sistémicos")</f>
        <v>Modelación de sistemas con mapas sistémicos</v>
      </c>
      <c r="E31" s="34"/>
      <c r="F31" s="83" t="str">
        <f>IFERROR(__xludf.DUMMYFUNCTION("""COMPUTED_VALUE"""),"Diagramas de causa y efecto")</f>
        <v>Diagramas de causa y efecto</v>
      </c>
      <c r="G31" s="33"/>
      <c r="H31" s="34"/>
    </row>
    <row r="32" ht="15.75" customHeight="1">
      <c r="A32" s="84">
        <v>5.0</v>
      </c>
      <c r="B32" s="83" t="str">
        <f>IFERROR(__xludf.DUMMYFUNCTION("""COMPUTED_VALUE"""),"Unidad 4: Modelación y simulación dinámica de sistemas")</f>
        <v>Unidad 4: Modelación y simulación dinámica de sistemas</v>
      </c>
      <c r="C32" s="34"/>
      <c r="D32" s="83" t="str">
        <f>IFERROR(__xludf.DUMMYFUNCTION("""COMPUTED_VALUE"""),"Modelación de sistemas con mapas sistémicos")</f>
        <v>Modelación de sistemas con mapas sistémicos</v>
      </c>
      <c r="E32" s="34"/>
      <c r="F32" s="83" t="str">
        <f>IFERROR(__xludf.DUMMYFUNCTION("""COMPUTED_VALUE"""),"Interdependencias sistémicas")</f>
        <v>Interdependencias sistémicas</v>
      </c>
      <c r="G32" s="33"/>
      <c r="H32" s="34"/>
    </row>
    <row r="33" ht="15.75" customHeight="1">
      <c r="A33" s="84">
        <v>6.0</v>
      </c>
      <c r="B33" s="83" t="str">
        <f>IFERROR(__xludf.DUMMYFUNCTION("""COMPUTED_VALUE"""),"Unidad 4: Modelación y simulación dinámica de sistemas")</f>
        <v>Unidad 4: Modelación y simulación dinámica de sistemas</v>
      </c>
      <c r="C33" s="34"/>
      <c r="D33" s="83" t="str">
        <f>IFERROR(__xludf.DUMMYFUNCTION("""COMPUTED_VALUE"""),"Modelación de sistemas con mapas sistémicos")</f>
        <v>Modelación de sistemas con mapas sistémicos</v>
      </c>
      <c r="E33" s="34"/>
      <c r="F33" s="83" t="str">
        <f>IFERROR(__xludf.DUMMYFUNCTION("""COMPUTED_VALUE"""),"Comportamientos circulares en sistemas")</f>
        <v>Comportamientos circulares en sistemas</v>
      </c>
      <c r="G33" s="33"/>
      <c r="H33" s="34"/>
    </row>
    <row r="34" ht="15.75" customHeight="1">
      <c r="A34" s="84">
        <v>7.0</v>
      </c>
      <c r="B34" s="83" t="str">
        <f>IFERROR(__xludf.DUMMYFUNCTION("""COMPUTED_VALUE"""),"Unidad 4: Modelación y simulación dinámica de sistemas")</f>
        <v>Unidad 4: Modelación y simulación dinámica de sistemas</v>
      </c>
      <c r="C34" s="34"/>
      <c r="D34" s="83" t="str">
        <f>IFERROR(__xludf.DUMMYFUNCTION("""COMPUTED_VALUE"""),"Modelación de sistemas con mapas sistémicos")</f>
        <v>Modelación de sistemas con mapas sistémicos</v>
      </c>
      <c r="E34" s="34"/>
      <c r="F34" s="83" t="str">
        <f>IFERROR(__xludf.DUMMYFUNCTION("""COMPUTED_VALUE"""),"Ejemplos de interdependencias sistémicas")</f>
        <v>Ejemplos de interdependencias sistémicas</v>
      </c>
      <c r="G34" s="33"/>
      <c r="H34" s="34"/>
    </row>
    <row r="35" ht="15.75" customHeight="1">
      <c r="B35" s="106" t="str">
        <f>IFERROR(__xludf.DUMMYFUNCTION("""COMPUTED_VALUE"""),"Unidad 4: Modelación y simulación dinámica de sistemas")</f>
        <v>Unidad 4: Modelación y simulación dinámica de sistemas</v>
      </c>
      <c r="D35" s="106" t="str">
        <f>IFERROR(__xludf.DUMMYFUNCTION("""COMPUTED_VALUE"""),"Modelación de sistemas con mapas sistémicos")</f>
        <v>Modelación de sistemas con mapas sistémicos</v>
      </c>
      <c r="F35" s="106" t="str">
        <f>IFERROR(__xludf.DUMMYFUNCTION("""COMPUTED_VALUE"""),"Introducción a la retroalimentación")</f>
        <v>Introducción a la retroalimentación</v>
      </c>
    </row>
    <row r="36" ht="15.75" customHeight="1">
      <c r="A36" s="103" t="s">
        <v>251</v>
      </c>
      <c r="B36" s="106" t="str">
        <f>IFERROR(__xludf.DUMMYFUNCTION("""COMPUTED_VALUE"""),"Unidad 4: Modelación y simulación dinámica de sistemas")</f>
        <v>Unidad 4: Modelación y simulación dinámica de sistemas</v>
      </c>
      <c r="D36" s="106" t="str">
        <f>IFERROR(__xludf.DUMMYFUNCTION("""COMPUTED_VALUE"""),"Estructuras circulares de retroalimentación")</f>
        <v>Estructuras circulares de retroalimentación</v>
      </c>
      <c r="F36" s="106" t="str">
        <f>IFERROR(__xludf.DUMMYFUNCTION("""COMPUTED_VALUE"""),"Retroalimentación de compensación y refuerzo")</f>
        <v>Retroalimentación de compensación y refuerzo</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30.0</v>
      </c>
      <c r="E42" s="33"/>
      <c r="F42" s="33"/>
      <c r="G42" s="33"/>
      <c r="H42" s="34"/>
      <c r="I42" s="84" t="str">
        <f t="shared" si="1"/>
        <v>Correcto</v>
      </c>
    </row>
    <row r="43" ht="15.75" customHeight="1"/>
    <row r="44" ht="15.75" customHeight="1">
      <c r="A44" s="100" t="s">
        <v>261</v>
      </c>
      <c r="G44" s="96" t="s">
        <v>196</v>
      </c>
      <c r="H44" s="101">
        <f>B50</f>
        <v>30</v>
      </c>
    </row>
    <row r="45" ht="15.75" customHeight="1">
      <c r="G45" s="89" t="s">
        <v>262</v>
      </c>
    </row>
    <row r="46" ht="15.75" customHeight="1">
      <c r="A46" s="89" t="s">
        <v>263</v>
      </c>
    </row>
    <row r="47">
      <c r="A47" s="91" t="s">
        <v>264</v>
      </c>
      <c r="B47" s="93" t="s">
        <v>125</v>
      </c>
      <c r="C47" s="33"/>
      <c r="D47" s="33"/>
      <c r="E47" s="33"/>
      <c r="F47" s="33"/>
      <c r="G47" s="33"/>
      <c r="H47" s="34"/>
    </row>
    <row r="48" ht="15.75" customHeight="1">
      <c r="A48" s="91" t="s">
        <v>8</v>
      </c>
      <c r="B48" s="93" t="s">
        <v>287</v>
      </c>
      <c r="C48" s="33"/>
      <c r="D48" s="33"/>
      <c r="E48" s="33"/>
      <c r="F48" s="33"/>
      <c r="G48" s="33"/>
      <c r="H48" s="34"/>
    </row>
    <row r="49" ht="15.75" customHeight="1">
      <c r="A49" s="91" t="s">
        <v>234</v>
      </c>
      <c r="B49" s="110">
        <v>1.0</v>
      </c>
      <c r="C49" s="33"/>
      <c r="D49" s="33"/>
      <c r="E49" s="33"/>
      <c r="F49" s="33"/>
      <c r="G49" s="33"/>
      <c r="H49" s="34"/>
    </row>
    <row r="50" ht="15.75" customHeight="1">
      <c r="A50" s="91" t="s">
        <v>196</v>
      </c>
      <c r="B50" s="95">
        <v>30.0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309</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310</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9.0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40" t="s">
        <v>311</v>
      </c>
      <c r="C12" s="33"/>
      <c r="D12" s="33"/>
      <c r="E12" s="33"/>
      <c r="F12" s="33"/>
      <c r="G12" s="33"/>
      <c r="H12" s="34"/>
    </row>
    <row r="13" ht="15.75" customHeight="1">
      <c r="A13" s="92" t="s">
        <v>196</v>
      </c>
      <c r="B13" s="95">
        <v>5.0</v>
      </c>
      <c r="C13" s="33"/>
      <c r="D13" s="33"/>
      <c r="E13" s="33"/>
      <c r="F13" s="33"/>
      <c r="G13" s="33"/>
      <c r="H13" s="34"/>
    </row>
    <row r="14" ht="15.75" customHeight="1">
      <c r="A14" s="102" t="s">
        <v>240</v>
      </c>
      <c r="B14" s="33"/>
      <c r="C14" s="33"/>
      <c r="D14" s="33"/>
      <c r="E14" s="33"/>
      <c r="F14" s="33"/>
      <c r="G14" s="33"/>
      <c r="H14" s="34"/>
    </row>
    <row r="15" ht="15.75" customHeight="1">
      <c r="A15" s="63" t="s">
        <v>312</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63" t="s">
        <v>313</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55</v>
      </c>
      <c r="I21" s="6"/>
    </row>
    <row r="22" ht="15.75" customHeight="1">
      <c r="G22" s="89" t="s">
        <v>245</v>
      </c>
    </row>
    <row r="23" ht="15.75" customHeight="1">
      <c r="A23" s="91" t="s">
        <v>246</v>
      </c>
      <c r="B23" s="93" t="s">
        <v>125</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4: Modelación y simulación dinámica de sistemas")</f>
        <v>Unidad 4: Modelación y simulación dinámica de sistemas</v>
      </c>
      <c r="C28" s="34"/>
      <c r="D28" s="83" t="str">
        <f>IFERROR(__xludf.DUMMYFUNCTION("FILTER('Diseño'!E:E,'Diseño'!H:H=$C$5)"),"Estructuras circulares de retroalimentación")</f>
        <v>Estructuras circulares de retroalimentación</v>
      </c>
      <c r="E28" s="34"/>
      <c r="F28" s="83" t="str">
        <f>IFERROR(__xludf.DUMMYFUNCTION("FILTER('Diseño'!F:F,'Diseño'!H:H=$C$5)"),"Ejemplos de retroalimentación en sistemas")</f>
        <v>Ejemplos de retroalimentación en sistemas</v>
      </c>
      <c r="G28" s="33"/>
      <c r="H28" s="34"/>
    </row>
    <row r="29" ht="15.75" customHeight="1">
      <c r="A29" s="84">
        <v>2.0</v>
      </c>
      <c r="B29" s="83" t="str">
        <f>IFERROR(__xludf.DUMMYFUNCTION("""COMPUTED_VALUE"""),"Unidad 4: Modelación y simulación dinámica de sistemas")</f>
        <v>Unidad 4: Modelación y simulación dinámica de sistemas</v>
      </c>
      <c r="C29" s="34"/>
      <c r="D29" s="83" t="str">
        <f>IFERROR(__xludf.DUMMYFUNCTION("""COMPUTED_VALUE"""),"Estructuras circulares de retroalimentación")</f>
        <v>Estructuras circulares de retroalimentación</v>
      </c>
      <c r="E29" s="34"/>
      <c r="F29" s="83" t="str">
        <f>IFERROR(__xludf.DUMMYFUNCTION("""COMPUTED_VALUE"""),"Impacto de la retroalimentación en el comportamiento de sistemas")</f>
        <v>Impacto de la retroalimentación en el comportamiento de sistemas</v>
      </c>
      <c r="G29" s="33"/>
      <c r="H29" s="34"/>
    </row>
    <row r="30" ht="15.75" customHeight="1">
      <c r="A30" s="84">
        <v>3.0</v>
      </c>
      <c r="B30" s="83" t="str">
        <f>IFERROR(__xludf.DUMMYFUNCTION("""COMPUTED_VALUE"""),"Unidad 4: Modelación y simulación dinámica de sistemas")</f>
        <v>Unidad 4: Modelación y simulación dinámica de sistemas</v>
      </c>
      <c r="C30" s="34"/>
      <c r="D30" s="83" t="str">
        <f>IFERROR(__xludf.DUMMYFUNCTION("""COMPUTED_VALUE"""),"Estructuras circulares de retroalimentación")</f>
        <v>Estructuras circulares de retroalimentación</v>
      </c>
      <c r="E30" s="34"/>
      <c r="F30" s="83" t="str">
        <f>IFERROR(__xludf.DUMMYFUNCTION("""COMPUTED_VALUE"""),"Retroalimentación y toma de decisiones")</f>
        <v>Retroalimentación y toma de decisiones</v>
      </c>
      <c r="G30" s="33"/>
      <c r="H30" s="34"/>
    </row>
    <row r="31" ht="15.75" customHeight="1">
      <c r="A31" s="84">
        <v>4.0</v>
      </c>
      <c r="B31" s="83" t="str">
        <f>IFERROR(__xludf.DUMMYFUNCTION("""COMPUTED_VALUE"""),"Unidad 4: Modelación y simulación dinámica de sistemas")</f>
        <v>Unidad 4: Modelación y simulación dinámica de sistemas</v>
      </c>
      <c r="C31" s="34"/>
      <c r="D31" s="83" t="str">
        <f>IFERROR(__xludf.DUMMYFUNCTION("""COMPUTED_VALUE"""),"Estructuras circulares de retroalimentación")</f>
        <v>Estructuras circulares de retroalimentación</v>
      </c>
      <c r="E31" s="34"/>
      <c r="F31" s="83" t="str">
        <f>IFERROR(__xludf.DUMMYFUNCTION("""COMPUTED_VALUE"""),"Acumulaciones y tasas de cambio ")</f>
        <v>Acumulaciones y tasas de cambio </v>
      </c>
      <c r="G31" s="33"/>
      <c r="H31" s="34"/>
    </row>
    <row r="32" ht="15.75" customHeight="1">
      <c r="A32" s="84">
        <v>5.0</v>
      </c>
      <c r="B32" s="83" t="str">
        <f>IFERROR(__xludf.DUMMYFUNCTION("""COMPUTED_VALUE"""),"Unidad 4: Modelación y simulación dinámica de sistemas")</f>
        <v>Unidad 4: Modelación y simulación dinámica de sistemas</v>
      </c>
      <c r="C32" s="34"/>
      <c r="D32" s="83" t="str">
        <f>IFERROR(__xludf.DUMMYFUNCTION("""COMPUTED_VALUE"""),"Estructuras circulares de retroalimentación")</f>
        <v>Estructuras circulares de retroalimentación</v>
      </c>
      <c r="E32" s="34"/>
      <c r="F32" s="83" t="str">
        <f>IFERROR(__xludf.DUMMYFUNCTION("""COMPUTED_VALUE"""),"Diagramas de ciclos causales a flujos y niveles")</f>
        <v>Diagramas de ciclos causales a flujos y niveles</v>
      </c>
      <c r="G32" s="33"/>
      <c r="H32" s="34"/>
    </row>
    <row r="33" ht="15.75" customHeight="1">
      <c r="A33" s="84">
        <v>6.0</v>
      </c>
      <c r="B33" s="83" t="str">
        <f>IFERROR(__xludf.DUMMYFUNCTION("""COMPUTED_VALUE"""),"Unidad 4: Modelación y simulación dinámica de sistemas")</f>
        <v>Unidad 4: Modelación y simulación dinámica de sistemas</v>
      </c>
      <c r="C33" s="34"/>
      <c r="D33" s="83" t="str">
        <f>IFERROR(__xludf.DUMMYFUNCTION("""COMPUTED_VALUE"""),"Estructuras circulares de retroalimentación")</f>
        <v>Estructuras circulares de retroalimentación</v>
      </c>
      <c r="E33" s="34"/>
      <c r="F33" s="83" t="str">
        <f>IFERROR(__xludf.DUMMYFUNCTION("""COMPUTED_VALUE"""),"Ejemplos de ciclos causales")</f>
        <v>Ejemplos de ciclos causales</v>
      </c>
      <c r="G33" s="33"/>
      <c r="H33" s="34"/>
    </row>
    <row r="34" ht="15.75" customHeight="1">
      <c r="A34" s="84">
        <v>7.0</v>
      </c>
      <c r="B34" s="83" t="str">
        <f>IFERROR(__xludf.DUMMYFUNCTION("""COMPUTED_VALUE"""),"Unidad 4: Modelación y simulación dinámica de sistemas")</f>
        <v>Unidad 4: Modelación y simulación dinámica de sistemas</v>
      </c>
      <c r="C34" s="34"/>
      <c r="D34" s="83" t="str">
        <f>IFERROR(__xludf.DUMMYFUNCTION("""COMPUTED_VALUE"""),"Simulación con VENSIM")</f>
        <v>Simulación con VENSIM</v>
      </c>
      <c r="E34" s="34"/>
      <c r="F34" s="83" t="str">
        <f>IFERROR(__xludf.DUMMYFUNCTION("""COMPUTED_VALUE"""),"Introducción a VENSIM")</f>
        <v>Introducción a VENSIM</v>
      </c>
      <c r="G34" s="33"/>
      <c r="H34" s="34"/>
    </row>
    <row r="35" ht="15.75" customHeight="1">
      <c r="B35" s="106" t="str">
        <f>IFERROR(__xludf.DUMMYFUNCTION("""COMPUTED_VALUE"""),"Unidad 4: Modelación y simulación dinámica de sistemas")</f>
        <v>Unidad 4: Modelación y simulación dinámica de sistemas</v>
      </c>
      <c r="D35" s="106" t="str">
        <f>IFERROR(__xludf.DUMMYFUNCTION("""COMPUTED_VALUE"""),"Simulación con VENSIM")</f>
        <v>Simulación con VENSIM</v>
      </c>
      <c r="F35" s="106" t="str">
        <f>IFERROR(__xludf.DUMMYFUNCTION("""COMPUTED_VALUE"""),"Ejemplos de simulaciones en VENSIM")</f>
        <v>Ejemplos de simulaciones en VENSIM</v>
      </c>
    </row>
    <row r="36" ht="15.75" customHeight="1">
      <c r="A36" s="103" t="s">
        <v>251</v>
      </c>
      <c r="B36" s="106" t="str">
        <f>IFERROR(__xludf.DUMMYFUNCTION("""COMPUTED_VALUE"""),"Unidad 4: Modelación y simulación dinámica de sistemas")</f>
        <v>Unidad 4: Modelación y simulación dinámica de sistemas</v>
      </c>
      <c r="D36" s="106" t="str">
        <f>IFERROR(__xludf.DUMMYFUNCTION("""COMPUTED_VALUE"""),"Simulación con VENSIM")</f>
        <v>Simulación con VENSIM</v>
      </c>
      <c r="F36" s="106" t="str">
        <f>IFERROR(__xludf.DUMMYFUNCTION("""COMPUTED_VALUE"""),"Análisis de resultados de simulaciones")</f>
        <v>Análisis de resultados de simulaciones</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30.0</v>
      </c>
      <c r="E42" s="33"/>
      <c r="F42" s="33"/>
      <c r="G42" s="33"/>
      <c r="H42" s="34"/>
      <c r="I42" s="84" t="str">
        <f t="shared" si="1"/>
        <v>Correcto</v>
      </c>
    </row>
    <row r="43" ht="15.75" customHeight="1"/>
    <row r="44" ht="15.75" customHeight="1">
      <c r="A44" s="100" t="s">
        <v>261</v>
      </c>
      <c r="G44" s="96" t="s">
        <v>196</v>
      </c>
      <c r="H44" s="101">
        <f>B50</f>
        <v>30</v>
      </c>
    </row>
    <row r="45" ht="15.75" customHeight="1">
      <c r="G45" s="89" t="s">
        <v>262</v>
      </c>
    </row>
    <row r="46" ht="15.75" customHeight="1">
      <c r="A46" s="89" t="s">
        <v>263</v>
      </c>
    </row>
    <row r="47">
      <c r="A47" s="91" t="s">
        <v>264</v>
      </c>
      <c r="B47" s="93" t="s">
        <v>125</v>
      </c>
      <c r="C47" s="33"/>
      <c r="D47" s="33"/>
      <c r="E47" s="33"/>
      <c r="F47" s="33"/>
      <c r="G47" s="33"/>
      <c r="H47" s="34"/>
    </row>
    <row r="48" ht="15.75" customHeight="1">
      <c r="A48" s="91" t="s">
        <v>8</v>
      </c>
      <c r="B48" s="93" t="s">
        <v>266</v>
      </c>
      <c r="C48" s="33"/>
      <c r="D48" s="33"/>
      <c r="E48" s="33"/>
      <c r="F48" s="33"/>
      <c r="G48" s="33"/>
      <c r="H48" s="34"/>
    </row>
    <row r="49" ht="15.75" customHeight="1">
      <c r="A49" s="91" t="s">
        <v>234</v>
      </c>
      <c r="B49" s="110">
        <v>1.0</v>
      </c>
      <c r="C49" s="33"/>
      <c r="D49" s="33"/>
      <c r="E49" s="33"/>
      <c r="F49" s="33"/>
      <c r="G49" s="33"/>
      <c r="H49" s="34"/>
    </row>
    <row r="50" ht="15.75" customHeight="1">
      <c r="A50" s="91" t="s">
        <v>196</v>
      </c>
      <c r="B50" s="93">
        <v>30.0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314</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315</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10.0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93" t="s">
        <v>316</v>
      </c>
      <c r="C12" s="33"/>
      <c r="D12" s="33"/>
      <c r="E12" s="33"/>
      <c r="F12" s="33"/>
      <c r="G12" s="33"/>
      <c r="H12" s="34"/>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317</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117" t="s">
        <v>318</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55</v>
      </c>
      <c r="I21" s="6"/>
    </row>
    <row r="22" ht="15.75" customHeight="1">
      <c r="G22" s="89" t="s">
        <v>245</v>
      </c>
    </row>
    <row r="23" ht="15.75" customHeight="1">
      <c r="A23" s="91" t="s">
        <v>246</v>
      </c>
      <c r="B23" s="93" t="s">
        <v>125</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4: Modelación y simulación dinámica de sistemas")</f>
        <v>Unidad 4: Modelación y simulación dinámica de sistemas</v>
      </c>
      <c r="C28" s="34"/>
      <c r="D28" s="83" t="str">
        <f>IFERROR(__xludf.DUMMYFUNCTION("FILTER('Diseño'!E:E,'Diseño'!H:H=$C$5)"),"Simulación con VENSIM")</f>
        <v>Simulación con VENSIM</v>
      </c>
      <c r="E28" s="34"/>
      <c r="F28" s="83" t="str">
        <f>IFERROR(__xludf.DUMMYFUNCTION("FILTER('Diseño'!F:F,'Diseño'!H:H=$C$5)"),"Simulación de sistemas complejos")</f>
        <v>Simulación de sistemas complejos</v>
      </c>
      <c r="G28" s="33"/>
      <c r="H28" s="34"/>
    </row>
    <row r="29" ht="15.75" customHeight="1">
      <c r="A29" s="84">
        <v>2.0</v>
      </c>
      <c r="B29" s="83" t="str">
        <f>IFERROR(__xludf.DUMMYFUNCTION("""COMPUTED_VALUE"""),"Unidad 4: Modelación y simulación dinámica de sistemas")</f>
        <v>Unidad 4: Modelación y simulación dinámica de sistemas</v>
      </c>
      <c r="C29" s="34"/>
      <c r="D29" s="83" t="str">
        <f>IFERROR(__xludf.DUMMYFUNCTION("""COMPUTED_VALUE"""),"Simulación con VENSIM")</f>
        <v>Simulación con VENSIM</v>
      </c>
      <c r="E29" s="34"/>
      <c r="F29" s="83" t="str">
        <f>IFERROR(__xludf.DUMMYFUNCTION("""COMPUTED_VALUE"""),"Impacto de los cambios en variables")</f>
        <v>Impacto de los cambios en variables</v>
      </c>
      <c r="G29" s="33"/>
      <c r="H29" s="34"/>
    </row>
    <row r="30" ht="15.75" customHeight="1">
      <c r="A30" s="84">
        <v>3.0</v>
      </c>
      <c r="B30" s="83" t="str">
        <f>IFERROR(__xludf.DUMMYFUNCTION("""COMPUTED_VALUE"""),"Unidad 4: Modelación y simulación dinámica de sistemas")</f>
        <v>Unidad 4: Modelación y simulación dinámica de sistemas</v>
      </c>
      <c r="C30" s="34"/>
      <c r="D30" s="83" t="str">
        <f>IFERROR(__xludf.DUMMYFUNCTION("""COMPUTED_VALUE"""),"Simulación con VENSIM")</f>
        <v>Simulación con VENSIM</v>
      </c>
      <c r="E30" s="34"/>
      <c r="F30" s="83" t="str">
        <f>IFERROR(__xludf.DUMMYFUNCTION("""COMPUTED_VALUE"""),"Integración de VENSIM en la toma de decisiones")</f>
        <v>Integración de VENSIM en la toma de decisiones</v>
      </c>
      <c r="G30" s="33"/>
      <c r="H30" s="34"/>
    </row>
    <row r="31" ht="15.75" customHeight="1">
      <c r="A31" s="84">
        <v>4.0</v>
      </c>
      <c r="B31" s="83" t="str">
        <f>IFERROR(__xludf.DUMMYFUNCTION("""COMPUTED_VALUE"""),"Unidad 4: Modelación y simulación dinámica de sistemas")</f>
        <v>Unidad 4: Modelación y simulación dinámica de sistemas</v>
      </c>
      <c r="C31" s="34"/>
      <c r="D31" s="83" t="str">
        <f>IFERROR(__xludf.DUMMYFUNCTION("""COMPUTED_VALUE"""),"Simulación con VENSIM")</f>
        <v>Simulación con VENSIM</v>
      </c>
      <c r="E31" s="34"/>
      <c r="F31" s="83" t="str">
        <f>IFERROR(__xludf.DUMMYFUNCTION("""COMPUTED_VALUE"""),"Ejemplos prácticos con simulaciones")</f>
        <v>Ejemplos prácticos con simulaciones</v>
      </c>
      <c r="G31" s="33"/>
      <c r="H31" s="34"/>
    </row>
    <row r="32" ht="15.75" customHeight="1">
      <c r="A32" s="84">
        <v>5.0</v>
      </c>
      <c r="B32" s="83" t="str">
        <f>IFERROR(__xludf.DUMMYFUNCTION("""COMPUTED_VALUE"""),"Unidad 5: Toma de decisiones sistémicas")</f>
        <v>Unidad 5: Toma de decisiones sistémicas</v>
      </c>
      <c r="C32" s="34"/>
      <c r="D32" s="83" t="str">
        <f>IFERROR(__xludf.DUMMYFUNCTION("""COMPUTED_VALUE"""),"Patrones y tendencias en sistemas")</f>
        <v>Patrones y tendencias en sistemas</v>
      </c>
      <c r="E32" s="34"/>
      <c r="F32" s="83" t="str">
        <f>IFERROR(__xludf.DUMMYFUNCTION("""COMPUTED_VALUE"""),"Identificación de patrones sistémicos")</f>
        <v>Identificación de patrones sistémicos</v>
      </c>
      <c r="G32" s="33"/>
      <c r="H32" s="34"/>
    </row>
    <row r="33" ht="15.75" customHeight="1">
      <c r="A33" s="84">
        <v>6.0</v>
      </c>
      <c r="B33" s="83" t="str">
        <f>IFERROR(__xludf.DUMMYFUNCTION("""COMPUTED_VALUE"""),"Unidad 5: Toma de decisiones sistémicas")</f>
        <v>Unidad 5: Toma de decisiones sistémicas</v>
      </c>
      <c r="C33" s="34"/>
      <c r="D33" s="83" t="str">
        <f>IFERROR(__xludf.DUMMYFUNCTION("""COMPUTED_VALUE"""),"Patrones y tendencias en sistemas")</f>
        <v>Patrones y tendencias en sistemas</v>
      </c>
      <c r="E33" s="34"/>
      <c r="F33" s="83" t="str">
        <f>IFERROR(__xludf.DUMMYFUNCTION("""COMPUTED_VALUE"""),"Ejemplos de patrones y tendencias en sistemas")</f>
        <v>Ejemplos de patrones y tendencias en sistemas</v>
      </c>
      <c r="G33" s="33"/>
      <c r="H33" s="34"/>
    </row>
    <row r="34" ht="15.75" customHeight="1">
      <c r="A34" s="84">
        <v>7.0</v>
      </c>
      <c r="B34" s="83" t="str">
        <f>IFERROR(__xludf.DUMMYFUNCTION("""COMPUTED_VALUE"""),"Unidad 5: Toma de decisiones sistémicas")</f>
        <v>Unidad 5: Toma de decisiones sistémicas</v>
      </c>
      <c r="C34" s="34"/>
      <c r="D34" s="83" t="str">
        <f>IFERROR(__xludf.DUMMYFUNCTION("""COMPUTED_VALUE"""),"Patrones y tendencias en sistemas")</f>
        <v>Patrones y tendencias en sistemas</v>
      </c>
      <c r="E34" s="34"/>
      <c r="F34" s="83" t="str">
        <f>IFERROR(__xludf.DUMMYFUNCTION("""COMPUTED_VALUE"""),"Predicción de comportamientos en sistemas")</f>
        <v>Predicción de comportamientos en sistemas</v>
      </c>
      <c r="G34" s="33"/>
      <c r="H34" s="34"/>
    </row>
    <row r="35" ht="15.75" customHeight="1">
      <c r="B35" s="106" t="str">
        <f>IFERROR(__xludf.DUMMYFUNCTION("""COMPUTED_VALUE"""),"Unidad 5: Toma de decisiones sistémicas")</f>
        <v>Unidad 5: Toma de decisiones sistémicas</v>
      </c>
      <c r="D35" s="106" t="str">
        <f>IFERROR(__xludf.DUMMYFUNCTION("""COMPUTED_VALUE"""),"Patrones y tendencias en sistemas")</f>
        <v>Patrones y tendencias en sistemas</v>
      </c>
      <c r="F35" s="106" t="str">
        <f>IFERROR(__xludf.DUMMYFUNCTION("""COMPUTED_VALUE"""),"Impacto de patrones en toma de decisiones")</f>
        <v>Impacto de patrones en toma de decisiones</v>
      </c>
    </row>
    <row r="36" ht="15.75" customHeight="1">
      <c r="A36" s="103" t="s">
        <v>251</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30.0</v>
      </c>
      <c r="E42" s="33"/>
      <c r="F42" s="33"/>
      <c r="G42" s="33"/>
      <c r="H42" s="34"/>
      <c r="I42" s="84" t="str">
        <f t="shared" si="1"/>
        <v>Correcto</v>
      </c>
    </row>
    <row r="43" ht="15.75" customHeight="1"/>
    <row r="44" ht="15.75" customHeight="1">
      <c r="A44" s="100" t="s">
        <v>261</v>
      </c>
      <c r="G44" s="96" t="s">
        <v>196</v>
      </c>
      <c r="H44" s="101">
        <f>B50</f>
        <v>30</v>
      </c>
    </row>
    <row r="45" ht="15.75" customHeight="1">
      <c r="G45" s="89" t="s">
        <v>262</v>
      </c>
    </row>
    <row r="46" ht="15.75" customHeight="1">
      <c r="A46" s="89" t="s">
        <v>263</v>
      </c>
    </row>
    <row r="47">
      <c r="A47" s="91" t="s">
        <v>264</v>
      </c>
      <c r="B47" s="93" t="s">
        <v>125</v>
      </c>
      <c r="C47" s="33"/>
      <c r="D47" s="33"/>
      <c r="E47" s="33"/>
      <c r="F47" s="33"/>
      <c r="G47" s="33"/>
      <c r="H47" s="34"/>
    </row>
    <row r="48" ht="15.75" customHeight="1">
      <c r="A48" s="91" t="s">
        <v>8</v>
      </c>
      <c r="B48" s="93" t="s">
        <v>287</v>
      </c>
      <c r="C48" s="33"/>
      <c r="D48" s="33"/>
      <c r="E48" s="33"/>
      <c r="F48" s="33"/>
      <c r="G48" s="33"/>
      <c r="H48" s="34"/>
    </row>
    <row r="49" ht="15.75" customHeight="1">
      <c r="A49" s="91" t="s">
        <v>234</v>
      </c>
      <c r="B49" s="110">
        <v>1.0</v>
      </c>
      <c r="C49" s="33"/>
      <c r="D49" s="33"/>
      <c r="E49" s="33"/>
      <c r="F49" s="33"/>
      <c r="G49" s="33"/>
      <c r="H49" s="34"/>
    </row>
    <row r="50" ht="15.75" customHeight="1">
      <c r="A50" s="91" t="s">
        <v>196</v>
      </c>
      <c r="B50" s="93">
        <v>30.0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63" t="s">
        <v>319</v>
      </c>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63" t="s">
        <v>320</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233</v>
      </c>
    </row>
    <row r="3" ht="15.75" customHeight="1"/>
    <row r="4" ht="15.75" customHeight="1">
      <c r="B4" s="82" t="s">
        <v>1</v>
      </c>
      <c r="C4" s="97" t="str">
        <f>'Diseño'!C4</f>
        <v>722 - Teoría de Sistemas 1</v>
      </c>
      <c r="D4" s="33"/>
      <c r="E4" s="33"/>
      <c r="F4" s="33"/>
      <c r="G4" s="34"/>
    </row>
    <row r="5" ht="15.75" customHeight="1">
      <c r="B5" s="84" t="s">
        <v>77</v>
      </c>
      <c r="C5" s="83">
        <v>11.0</v>
      </c>
      <c r="D5" s="33"/>
      <c r="E5" s="33"/>
      <c r="F5" s="33"/>
      <c r="G5" s="34"/>
    </row>
    <row r="6" ht="15.75" customHeight="1">
      <c r="B6" s="98" t="s">
        <v>193</v>
      </c>
      <c r="C6" s="83">
        <f>H10+H21+H44+H68</f>
        <v>100</v>
      </c>
      <c r="D6" s="33"/>
      <c r="E6" s="33"/>
      <c r="F6" s="33"/>
      <c r="G6" s="34"/>
      <c r="I6" s="6"/>
    </row>
    <row r="7" ht="15.75" customHeight="1">
      <c r="B7" s="98" t="s">
        <v>234</v>
      </c>
      <c r="C7" s="83">
        <f>B49+B60</f>
        <v>1</v>
      </c>
      <c r="D7" s="33"/>
      <c r="E7" s="33"/>
      <c r="F7" s="33"/>
      <c r="G7" s="34"/>
    </row>
    <row r="8" ht="15.75" customHeight="1">
      <c r="B8" s="98" t="s">
        <v>235</v>
      </c>
      <c r="C8" s="99"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33"/>
      <c r="E8" s="33"/>
      <c r="F8" s="33"/>
      <c r="G8" s="34"/>
      <c r="I8" s="6"/>
      <c r="J8" s="6"/>
      <c r="K8" s="6"/>
    </row>
    <row r="9" ht="15.75" customHeight="1"/>
    <row r="10" ht="15.75" customHeight="1">
      <c r="A10" s="100" t="s">
        <v>236</v>
      </c>
      <c r="G10" s="96" t="s">
        <v>196</v>
      </c>
      <c r="H10" s="101">
        <f>B13</f>
        <v>5</v>
      </c>
    </row>
    <row r="11" ht="15.75" customHeight="1">
      <c r="G11" s="89" t="s">
        <v>237</v>
      </c>
    </row>
    <row r="12" ht="15.75" customHeight="1">
      <c r="A12" s="91" t="s">
        <v>238</v>
      </c>
      <c r="B12" s="93" t="s">
        <v>321</v>
      </c>
      <c r="C12" s="33"/>
      <c r="D12" s="33"/>
      <c r="E12" s="33"/>
      <c r="F12" s="33"/>
      <c r="G12" s="33"/>
      <c r="H12" s="34"/>
    </row>
    <row r="13" ht="15.75" customHeight="1">
      <c r="A13" s="92" t="s">
        <v>196</v>
      </c>
      <c r="B13" s="93">
        <v>5.0</v>
      </c>
      <c r="C13" s="33"/>
      <c r="D13" s="33"/>
      <c r="E13" s="33"/>
      <c r="F13" s="33"/>
      <c r="G13" s="33"/>
      <c r="H13" s="34"/>
    </row>
    <row r="14" ht="15.75" customHeight="1">
      <c r="A14" s="102" t="s">
        <v>240</v>
      </c>
      <c r="B14" s="33"/>
      <c r="C14" s="33"/>
      <c r="D14" s="33"/>
      <c r="E14" s="33"/>
      <c r="F14" s="33"/>
      <c r="G14" s="33"/>
      <c r="H14" s="34"/>
    </row>
    <row r="15" ht="15.75" customHeight="1">
      <c r="A15" s="117" t="s">
        <v>322</v>
      </c>
      <c r="B15" s="64"/>
      <c r="C15" s="64"/>
      <c r="D15" s="64"/>
      <c r="E15" s="64"/>
      <c r="F15" s="64"/>
      <c r="G15" s="64"/>
      <c r="H15" s="65"/>
    </row>
    <row r="16" ht="15.75" customHeight="1">
      <c r="A16" s="66"/>
      <c r="B16" s="67"/>
      <c r="C16" s="67"/>
      <c r="D16" s="67"/>
      <c r="E16" s="67"/>
      <c r="F16" s="67"/>
      <c r="G16" s="67"/>
      <c r="H16" s="68"/>
    </row>
    <row r="17" ht="15.75" customHeight="1">
      <c r="A17" s="102" t="s">
        <v>242</v>
      </c>
      <c r="B17" s="33"/>
      <c r="C17" s="33"/>
      <c r="D17" s="33"/>
      <c r="E17" s="33"/>
      <c r="F17" s="33"/>
      <c r="G17" s="33"/>
      <c r="H17" s="34"/>
    </row>
    <row r="18" ht="15.75" customHeight="1">
      <c r="A18" s="117" t="s">
        <v>323</v>
      </c>
      <c r="B18" s="64"/>
      <c r="C18" s="64"/>
      <c r="D18" s="64"/>
      <c r="E18" s="64"/>
      <c r="F18" s="64"/>
      <c r="G18" s="64"/>
      <c r="H18" s="65"/>
    </row>
    <row r="19" ht="15.75" customHeight="1">
      <c r="A19" s="66"/>
      <c r="B19" s="67"/>
      <c r="C19" s="67"/>
      <c r="D19" s="67"/>
      <c r="E19" s="67"/>
      <c r="F19" s="67"/>
      <c r="G19" s="67"/>
      <c r="H19" s="68"/>
    </row>
    <row r="20" ht="15.75" customHeight="1"/>
    <row r="21" ht="15.75" customHeight="1">
      <c r="A21" s="100" t="s">
        <v>244</v>
      </c>
      <c r="G21" s="96" t="s">
        <v>196</v>
      </c>
      <c r="H21" s="101">
        <f>SUM(D39:H42)</f>
        <v>55</v>
      </c>
      <c r="I21" s="6"/>
    </row>
    <row r="22" ht="15.75" customHeight="1">
      <c r="G22" s="89" t="s">
        <v>245</v>
      </c>
    </row>
    <row r="23" ht="15.75" customHeight="1">
      <c r="A23" s="91" t="s">
        <v>246</v>
      </c>
      <c r="B23" s="93" t="s">
        <v>170</v>
      </c>
      <c r="C23" s="33"/>
      <c r="D23" s="33"/>
      <c r="E23" s="33"/>
      <c r="F23" s="33"/>
      <c r="G23" s="33"/>
      <c r="H23" s="34"/>
    </row>
    <row r="24" ht="15.75" customHeight="1">
      <c r="A24" s="91" t="s">
        <v>246</v>
      </c>
      <c r="B24" s="83"/>
      <c r="C24" s="33"/>
      <c r="D24" s="33"/>
      <c r="E24" s="33"/>
      <c r="F24" s="33"/>
      <c r="G24" s="33"/>
      <c r="H24" s="34"/>
    </row>
    <row r="25" ht="15.75" customHeight="1"/>
    <row r="26" ht="15.75" customHeight="1">
      <c r="A26" s="103" t="s">
        <v>247</v>
      </c>
      <c r="B26" s="6"/>
      <c r="C26" s="6"/>
      <c r="D26" s="6"/>
    </row>
    <row r="27" ht="15.75" customHeight="1">
      <c r="A27" s="104" t="s">
        <v>71</v>
      </c>
      <c r="B27" s="105" t="s">
        <v>248</v>
      </c>
      <c r="C27" s="34"/>
      <c r="D27" s="105" t="s">
        <v>249</v>
      </c>
      <c r="E27" s="34"/>
      <c r="F27" s="105" t="s">
        <v>250</v>
      </c>
      <c r="G27" s="33"/>
      <c r="H27" s="34"/>
    </row>
    <row r="28" ht="15.75" customHeight="1">
      <c r="A28" s="84">
        <v>1.0</v>
      </c>
      <c r="B28" s="83" t="str">
        <f>IFERROR(__xludf.DUMMYFUNCTION("FILTER('Diseño'!D:D,'Diseño'!H:H=$C$5)"),"Unidad 5: Toma de decisiones sistémicas")</f>
        <v>Unidad 5: Toma de decisiones sistémicas</v>
      </c>
      <c r="C28" s="34"/>
      <c r="D28" s="83" t="str">
        <f>IFERROR(__xludf.DUMMYFUNCTION("FILTER('Diseño'!E:E,'Diseño'!H:H=$C$5)"),"Patrones y tendencias en sistemas")</f>
        <v>Patrones y tendencias en sistemas</v>
      </c>
      <c r="E28" s="34"/>
      <c r="F28" s="83" t="str">
        <f>IFERROR(__xludf.DUMMYFUNCTION("FILTER('Diseño'!F:F,'Diseño'!H:H=$C$5)"),"Ejemplos de arquetipos sistémicos comunes")</f>
        <v>Ejemplos de arquetipos sistémicos comunes</v>
      </c>
      <c r="G28" s="33"/>
      <c r="H28" s="34"/>
    </row>
    <row r="29" ht="15.75" customHeight="1">
      <c r="A29" s="84">
        <v>2.0</v>
      </c>
      <c r="B29" s="83" t="str">
        <f>IFERROR(__xludf.DUMMYFUNCTION("""COMPUTED_VALUE"""),"Unidad 5: Toma de decisiones sistémicas")</f>
        <v>Unidad 5: Toma de decisiones sistémicas</v>
      </c>
      <c r="C29" s="34"/>
      <c r="D29" s="83" t="str">
        <f>IFERROR(__xludf.DUMMYFUNCTION("""COMPUTED_VALUE"""),"Patrones y tendencias en sistemas")</f>
        <v>Patrones y tendencias en sistemas</v>
      </c>
      <c r="E29" s="34"/>
      <c r="F29" s="83" t="str">
        <f>IFERROR(__xludf.DUMMYFUNCTION("""COMPUTED_VALUE"""),"Arquetipos y resolución de problemas sistémicos")</f>
        <v>Arquetipos y resolución de problemas sistémicos</v>
      </c>
      <c r="G29" s="33"/>
      <c r="H29" s="34"/>
    </row>
    <row r="30" ht="15.75" customHeight="1">
      <c r="A30" s="84">
        <v>3.0</v>
      </c>
      <c r="B30" s="83" t="str">
        <f>IFERROR(__xludf.DUMMYFUNCTION("""COMPUTED_VALUE"""),"Unidad 5: Toma de decisiones sistémicas")</f>
        <v>Unidad 5: Toma de decisiones sistémicas</v>
      </c>
      <c r="C30" s="34"/>
      <c r="D30" s="83" t="str">
        <f>IFERROR(__xludf.DUMMYFUNCTION("""COMPUTED_VALUE"""),"Toma de decisiones sistémicas")</f>
        <v>Toma de decisiones sistémicas</v>
      </c>
      <c r="E30" s="34"/>
      <c r="F30" s="83" t="str">
        <f>IFERROR(__xludf.DUMMYFUNCTION("""COMPUTED_VALUE"""),"Uso de VENSIM para la toma de decisiones")</f>
        <v>Uso de VENSIM para la toma de decisiones</v>
      </c>
      <c r="G30" s="33"/>
      <c r="H30" s="34"/>
    </row>
    <row r="31" ht="15.75" customHeight="1">
      <c r="A31" s="84">
        <v>4.0</v>
      </c>
      <c r="B31" s="83" t="str">
        <f>IFERROR(__xludf.DUMMYFUNCTION("""COMPUTED_VALUE"""),"Unidad 5: Toma de decisiones sistémicas")</f>
        <v>Unidad 5: Toma de decisiones sistémicas</v>
      </c>
      <c r="C31" s="34"/>
      <c r="D31" s="83" t="str">
        <f>IFERROR(__xludf.DUMMYFUNCTION("""COMPUTED_VALUE"""),"Toma de decisiones sistémicas")</f>
        <v>Toma de decisiones sistémicas</v>
      </c>
      <c r="E31" s="34"/>
      <c r="F31" s="83" t="str">
        <f>IFERROR(__xludf.DUMMYFUNCTION("""COMPUTED_VALUE"""),"Desarrollo de estrategias de toma de decisiones")</f>
        <v>Desarrollo de estrategias de toma de decisiones</v>
      </c>
      <c r="G31" s="33"/>
      <c r="H31" s="34"/>
    </row>
    <row r="32" ht="15.75" customHeight="1">
      <c r="A32" s="84">
        <v>5.0</v>
      </c>
      <c r="B32" s="83" t="str">
        <f>IFERROR(__xludf.DUMMYFUNCTION("""COMPUTED_VALUE"""),"Unidad 5: Toma de decisiones sistémicas")</f>
        <v>Unidad 5: Toma de decisiones sistémicas</v>
      </c>
      <c r="C32" s="34"/>
      <c r="D32" s="83" t="str">
        <f>IFERROR(__xludf.DUMMYFUNCTION("""COMPUTED_VALUE"""),"Toma de decisiones sistémicas")</f>
        <v>Toma de decisiones sistémicas</v>
      </c>
      <c r="E32" s="34"/>
      <c r="F32" s="83" t="str">
        <f>IFERROR(__xludf.DUMMYFUNCTION("""COMPUTED_VALUE"""),"Análisis de ejemplos reales")</f>
        <v>Análisis de ejemplos reales</v>
      </c>
      <c r="G32" s="33"/>
      <c r="H32" s="34"/>
    </row>
    <row r="33" ht="15.75" customHeight="1">
      <c r="A33" s="84">
        <v>6.0</v>
      </c>
      <c r="B33" s="83" t="str">
        <f>IFERROR(__xludf.DUMMYFUNCTION("""COMPUTED_VALUE"""),"Unidad 5: Toma de decisiones sistémicas")</f>
        <v>Unidad 5: Toma de decisiones sistémicas</v>
      </c>
      <c r="C33" s="34"/>
      <c r="D33" s="83" t="str">
        <f>IFERROR(__xludf.DUMMYFUNCTION("""COMPUTED_VALUE"""),"Toma de decisiones sistémicas")</f>
        <v>Toma de decisiones sistémicas</v>
      </c>
      <c r="E33" s="34"/>
      <c r="F33" s="83" t="str">
        <f>IFERROR(__xludf.DUMMYFUNCTION("""COMPUTED_VALUE"""),"Hábitos para análisis de información sistémica")</f>
        <v>Hábitos para análisis de información sistémica</v>
      </c>
      <c r="G33" s="33"/>
      <c r="H33" s="34"/>
    </row>
    <row r="34" ht="15.75" customHeight="1">
      <c r="A34" s="84">
        <v>7.0</v>
      </c>
      <c r="B34" s="83" t="str">
        <f>IFERROR(__xludf.DUMMYFUNCTION("""COMPUTED_VALUE"""),"Unidad 5: Toma de decisiones sistémicas")</f>
        <v>Unidad 5: Toma de decisiones sistémicas</v>
      </c>
      <c r="C34" s="34"/>
      <c r="D34" s="83" t="str">
        <f>IFERROR(__xludf.DUMMYFUNCTION("""COMPUTED_VALUE"""),"Toma de decisiones sistémicas")</f>
        <v>Toma de decisiones sistémicas</v>
      </c>
      <c r="E34" s="34"/>
      <c r="F34" s="83" t="str">
        <f>IFERROR(__xludf.DUMMYFUNCTION("""COMPUTED_VALUE"""),"Resolución de problemas con enfoque sistémico")</f>
        <v>Resolución de problemas con enfoque sistémico</v>
      </c>
      <c r="G34" s="33"/>
      <c r="H34" s="34"/>
    </row>
    <row r="35" ht="15.75" customHeight="1">
      <c r="B35" s="106" t="str">
        <f>IFERROR(__xludf.DUMMYFUNCTION("""COMPUTED_VALUE"""),"Unidad 5: Toma de decisiones sistémicas")</f>
        <v>Unidad 5: Toma de decisiones sistémicas</v>
      </c>
      <c r="D35" s="106" t="str">
        <f>IFERROR(__xludf.DUMMYFUNCTION("""COMPUTED_VALUE"""),"Toma de decisiones sistémicas")</f>
        <v>Toma de decisiones sistémicas</v>
      </c>
      <c r="F35" s="106" t="str">
        <f>IFERROR(__xludf.DUMMYFUNCTION("""COMPUTED_VALUE"""),"Impacto de la retroalimentación en decisiones")</f>
        <v>Impacto de la retroalimentación en decisiones</v>
      </c>
    </row>
    <row r="36" ht="15.75" customHeight="1">
      <c r="A36" s="103" t="s">
        <v>251</v>
      </c>
    </row>
    <row r="37" ht="15.75" customHeight="1">
      <c r="A37" s="6"/>
      <c r="B37" s="6"/>
      <c r="C37" s="6"/>
      <c r="D37" s="6"/>
      <c r="E37" s="6"/>
      <c r="F37" s="6"/>
      <c r="G37" s="6"/>
      <c r="H37" s="6"/>
    </row>
    <row r="38">
      <c r="A38" s="104" t="s">
        <v>252</v>
      </c>
      <c r="B38" s="104" t="s">
        <v>28</v>
      </c>
      <c r="C38" s="107" t="s">
        <v>253</v>
      </c>
      <c r="D38" s="108" t="s">
        <v>254</v>
      </c>
      <c r="E38" s="33"/>
      <c r="F38" s="33"/>
      <c r="G38" s="33"/>
      <c r="H38" s="34"/>
      <c r="I38" s="109" t="s">
        <v>18</v>
      </c>
    </row>
    <row r="39" ht="15.75" customHeight="1">
      <c r="A39" s="84" t="s">
        <v>255</v>
      </c>
      <c r="B39" s="84" t="s">
        <v>256</v>
      </c>
      <c r="C39" s="84">
        <v>30.0</v>
      </c>
      <c r="D39" s="95">
        <v>15.0</v>
      </c>
      <c r="E39" s="33"/>
      <c r="F39" s="33"/>
      <c r="G39" s="33"/>
      <c r="H39" s="34"/>
      <c r="I39" s="84" t="str">
        <f t="shared" ref="I39:I42" si="1">IF(D39&lt;=C39,"Correcto", "Corregir")</f>
        <v>Correcto</v>
      </c>
    </row>
    <row r="40" ht="15.75" customHeight="1">
      <c r="A40" s="84" t="s">
        <v>257</v>
      </c>
      <c r="B40" s="84" t="s">
        <v>256</v>
      </c>
      <c r="C40" s="84">
        <v>6.0</v>
      </c>
      <c r="D40" s="95">
        <v>5.0</v>
      </c>
      <c r="E40" s="33"/>
      <c r="F40" s="33"/>
      <c r="G40" s="33"/>
      <c r="H40" s="34"/>
      <c r="I40" s="84" t="str">
        <f t="shared" si="1"/>
        <v>Correcto</v>
      </c>
    </row>
    <row r="41" ht="15.75" customHeight="1">
      <c r="A41" s="84" t="s">
        <v>258</v>
      </c>
      <c r="B41" s="84" t="s">
        <v>259</v>
      </c>
      <c r="C41" s="84">
        <v>10.0</v>
      </c>
      <c r="D41" s="95">
        <v>5.0</v>
      </c>
      <c r="E41" s="33"/>
      <c r="F41" s="33"/>
      <c r="G41" s="33"/>
      <c r="H41" s="34"/>
      <c r="I41" s="84" t="str">
        <f t="shared" si="1"/>
        <v>Correcto</v>
      </c>
    </row>
    <row r="42" ht="15.75" customHeight="1">
      <c r="A42" s="84" t="s">
        <v>260</v>
      </c>
      <c r="B42" s="84" t="s">
        <v>256</v>
      </c>
      <c r="C42" s="84">
        <v>30.0</v>
      </c>
      <c r="D42" s="95">
        <v>30.0</v>
      </c>
      <c r="E42" s="33"/>
      <c r="F42" s="33"/>
      <c r="G42" s="33"/>
      <c r="H42" s="34"/>
      <c r="I42" s="84" t="str">
        <f t="shared" si="1"/>
        <v>Correcto</v>
      </c>
    </row>
    <row r="43" ht="15.75" customHeight="1"/>
    <row r="44" ht="15.75" customHeight="1">
      <c r="A44" s="100" t="s">
        <v>261</v>
      </c>
      <c r="G44" s="96" t="s">
        <v>196</v>
      </c>
      <c r="H44" s="101">
        <f>B50</f>
        <v>30</v>
      </c>
    </row>
    <row r="45" ht="15.75" customHeight="1">
      <c r="G45" s="89" t="s">
        <v>262</v>
      </c>
    </row>
    <row r="46" ht="15.75" customHeight="1">
      <c r="A46" s="89" t="s">
        <v>263</v>
      </c>
    </row>
    <row r="47">
      <c r="A47" s="91" t="s">
        <v>264</v>
      </c>
      <c r="B47" s="93" t="s">
        <v>170</v>
      </c>
      <c r="C47" s="33"/>
      <c r="D47" s="33"/>
      <c r="E47" s="33"/>
      <c r="F47" s="33"/>
      <c r="G47" s="33"/>
      <c r="H47" s="34"/>
    </row>
    <row r="48" ht="15.75" customHeight="1">
      <c r="A48" s="91" t="s">
        <v>8</v>
      </c>
      <c r="B48" s="93" t="s">
        <v>281</v>
      </c>
      <c r="C48" s="33"/>
      <c r="D48" s="33"/>
      <c r="E48" s="33"/>
      <c r="F48" s="33"/>
      <c r="G48" s="33"/>
      <c r="H48" s="34"/>
    </row>
    <row r="49" ht="15.75" customHeight="1">
      <c r="A49" s="91" t="s">
        <v>234</v>
      </c>
      <c r="B49" s="110">
        <v>1.0</v>
      </c>
      <c r="C49" s="33"/>
      <c r="D49" s="33"/>
      <c r="E49" s="33"/>
      <c r="F49" s="33"/>
      <c r="G49" s="33"/>
      <c r="H49" s="34"/>
    </row>
    <row r="50" ht="15.75" customHeight="1">
      <c r="A50" s="91" t="s">
        <v>196</v>
      </c>
      <c r="B50" s="93">
        <v>30.0</v>
      </c>
      <c r="C50" s="33"/>
      <c r="D50" s="33"/>
      <c r="E50" s="33"/>
      <c r="F50" s="33"/>
      <c r="G50" s="33"/>
      <c r="H50" s="34"/>
    </row>
    <row r="51" ht="15.75" customHeight="1">
      <c r="A51" s="111" t="s">
        <v>267</v>
      </c>
      <c r="B51" s="6"/>
      <c r="C51" s="6"/>
      <c r="D51" s="6"/>
      <c r="E51" s="6"/>
      <c r="F51" s="6"/>
      <c r="G51" s="6"/>
      <c r="H51" s="6"/>
    </row>
    <row r="52" ht="15.75" customHeight="1">
      <c r="A52" s="102" t="s">
        <v>268</v>
      </c>
      <c r="B52" s="33"/>
      <c r="C52" s="33"/>
      <c r="D52" s="33"/>
      <c r="E52" s="33"/>
      <c r="F52" s="33"/>
      <c r="G52" s="33"/>
      <c r="H52" s="34"/>
    </row>
    <row r="53" ht="15.75" customHeight="1">
      <c r="A53" s="116"/>
      <c r="B53" s="64"/>
      <c r="C53" s="64"/>
      <c r="D53" s="64"/>
      <c r="E53" s="64"/>
      <c r="F53" s="64"/>
      <c r="G53" s="64"/>
      <c r="H53" s="65"/>
    </row>
    <row r="54" ht="15.75" customHeight="1">
      <c r="A54" s="112"/>
      <c r="H54" s="113"/>
    </row>
    <row r="55" ht="15.75" customHeight="1">
      <c r="A55" s="66"/>
      <c r="B55" s="67"/>
      <c r="C55" s="67"/>
      <c r="D55" s="67"/>
      <c r="E55" s="67"/>
      <c r="F55" s="67"/>
      <c r="G55" s="67"/>
      <c r="H55" s="68"/>
    </row>
    <row r="56" ht="15.75" customHeight="1"/>
    <row r="57" ht="15.75" customHeight="1">
      <c r="A57" s="89" t="s">
        <v>270</v>
      </c>
    </row>
    <row r="58">
      <c r="A58" s="91" t="s">
        <v>264</v>
      </c>
      <c r="B58" s="83"/>
      <c r="C58" s="33"/>
      <c r="D58" s="33"/>
      <c r="E58" s="33"/>
      <c r="F58" s="33"/>
      <c r="G58" s="33"/>
      <c r="H58" s="34"/>
    </row>
    <row r="59" ht="15.75" customHeight="1">
      <c r="A59" s="91" t="s">
        <v>8</v>
      </c>
      <c r="B59" s="83"/>
      <c r="C59" s="33"/>
      <c r="D59" s="33"/>
      <c r="E59" s="33"/>
      <c r="F59" s="33"/>
      <c r="G59" s="33"/>
      <c r="H59" s="34"/>
    </row>
    <row r="60" ht="15.75" customHeight="1">
      <c r="A60" s="91" t="s">
        <v>234</v>
      </c>
      <c r="B60" s="114"/>
      <c r="C60" s="33"/>
      <c r="D60" s="33"/>
      <c r="E60" s="33"/>
      <c r="F60" s="33"/>
      <c r="G60" s="33"/>
      <c r="H60" s="34"/>
    </row>
    <row r="61" ht="15.75" customHeight="1">
      <c r="A61" s="91" t="s">
        <v>196</v>
      </c>
      <c r="B61" s="114"/>
      <c r="C61" s="33"/>
      <c r="D61" s="33"/>
      <c r="E61" s="33"/>
      <c r="F61" s="33"/>
      <c r="G61" s="33"/>
      <c r="H61" s="34"/>
    </row>
    <row r="62" ht="15.75" customHeight="1">
      <c r="A62" s="115" t="s">
        <v>271</v>
      </c>
      <c r="B62" s="6"/>
      <c r="C62" s="6"/>
      <c r="D62" s="6"/>
      <c r="E62" s="6"/>
      <c r="F62" s="6"/>
      <c r="G62" s="6"/>
      <c r="H62" s="6"/>
    </row>
    <row r="63" ht="15.75" customHeight="1">
      <c r="A63" s="102" t="s">
        <v>268</v>
      </c>
      <c r="B63" s="33"/>
      <c r="C63" s="33"/>
      <c r="D63" s="33"/>
      <c r="E63" s="33"/>
      <c r="F63" s="33"/>
      <c r="G63" s="33"/>
      <c r="H63" s="34"/>
    </row>
    <row r="64" ht="15.75" customHeight="1">
      <c r="A64" s="116"/>
      <c r="B64" s="64"/>
      <c r="C64" s="64"/>
      <c r="D64" s="64"/>
      <c r="E64" s="64"/>
      <c r="F64" s="64"/>
      <c r="G64" s="64"/>
      <c r="H64" s="65"/>
    </row>
    <row r="65" ht="15.75" customHeight="1">
      <c r="A65" s="112"/>
      <c r="H65" s="113"/>
    </row>
    <row r="66" ht="15.75" customHeight="1">
      <c r="A66" s="66"/>
      <c r="B66" s="67"/>
      <c r="C66" s="67"/>
      <c r="D66" s="67"/>
      <c r="E66" s="67"/>
      <c r="F66" s="67"/>
      <c r="G66" s="67"/>
      <c r="H66" s="68"/>
    </row>
    <row r="67" ht="15.75" customHeight="1"/>
    <row r="68" ht="15.75" customHeight="1">
      <c r="A68" s="100" t="s">
        <v>273</v>
      </c>
      <c r="G68" s="96" t="s">
        <v>196</v>
      </c>
      <c r="H68" s="101">
        <f>B70</f>
        <v>10</v>
      </c>
    </row>
    <row r="69" ht="15.75" customHeight="1">
      <c r="G69" s="89" t="s">
        <v>274</v>
      </c>
    </row>
    <row r="70" ht="15.75" customHeight="1">
      <c r="A70" s="91" t="s">
        <v>196</v>
      </c>
      <c r="B70" s="110">
        <v>10.0</v>
      </c>
      <c r="C70" s="33"/>
      <c r="D70" s="33"/>
      <c r="E70" s="33"/>
      <c r="F70" s="33"/>
      <c r="G70" s="33"/>
      <c r="H70" s="34"/>
    </row>
    <row r="71" ht="15.75" customHeight="1">
      <c r="A71" s="108" t="s">
        <v>275</v>
      </c>
      <c r="B71" s="33"/>
      <c r="C71" s="33"/>
      <c r="D71" s="33"/>
      <c r="E71" s="33"/>
      <c r="F71" s="33"/>
      <c r="G71" s="33"/>
      <c r="H71" s="34"/>
    </row>
    <row r="72" ht="15.75" customHeight="1">
      <c r="A72" s="117" t="s">
        <v>324</v>
      </c>
      <c r="B72" s="64"/>
      <c r="C72" s="64"/>
      <c r="D72" s="64"/>
      <c r="E72" s="64"/>
      <c r="F72" s="64"/>
      <c r="G72" s="64"/>
      <c r="H72" s="65"/>
    </row>
    <row r="73" ht="15.75" customHeight="1">
      <c r="A73" s="66"/>
      <c r="B73" s="67"/>
      <c r="C73" s="67"/>
      <c r="D73" s="67"/>
      <c r="E73" s="67"/>
      <c r="F73" s="67"/>
      <c r="G73" s="67"/>
      <c r="H73" s="68"/>
    </row>
    <row r="74" ht="15.75" customHeight="1">
      <c r="A74" s="89" t="s">
        <v>277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14</v>
      </c>
    </row>
    <row r="3" ht="15.75" customHeight="1"/>
    <row r="4" ht="15.75" customHeight="1">
      <c r="B4" s="82" t="s">
        <v>1</v>
      </c>
      <c r="C4" s="83" t="str">
        <f>'Diseño'!C4</f>
        <v>722 - Teoría de Sistemas 1</v>
      </c>
      <c r="D4" s="33"/>
      <c r="E4" s="33"/>
      <c r="F4" s="33"/>
      <c r="G4" s="34"/>
    </row>
    <row r="5" ht="15.75" customHeight="1">
      <c r="B5" s="98" t="s">
        <v>193</v>
      </c>
      <c r="C5" s="83">
        <f>H9+H26+H43</f>
        <v>10</v>
      </c>
      <c r="D5" s="33"/>
      <c r="E5" s="33"/>
      <c r="F5" s="33"/>
      <c r="G5" s="34"/>
    </row>
    <row r="6" ht="15.75" customHeight="1">
      <c r="B6" s="98" t="s">
        <v>234</v>
      </c>
      <c r="C6" s="83">
        <f>F9+F26+F43</f>
        <v>60</v>
      </c>
      <c r="D6" s="33"/>
      <c r="E6" s="33"/>
      <c r="F6" s="33"/>
      <c r="G6" s="34"/>
    </row>
    <row r="7" ht="15.75" customHeight="1">
      <c r="B7" s="71" t="s">
        <v>325</v>
      </c>
    </row>
    <row r="8" ht="15.75" customHeight="1"/>
    <row r="9" ht="15.75" customHeight="1">
      <c r="A9" s="100" t="s">
        <v>326</v>
      </c>
      <c r="E9" s="96" t="s">
        <v>234</v>
      </c>
      <c r="F9" s="123">
        <v>60.0</v>
      </c>
      <c r="G9" s="96" t="s">
        <v>327</v>
      </c>
      <c r="H9" s="123">
        <v>10.0</v>
      </c>
    </row>
    <row r="10" ht="15.75" customHeight="1">
      <c r="A10" s="71" t="s">
        <v>256</v>
      </c>
    </row>
    <row r="11" ht="15.75" customHeight="1">
      <c r="A11" s="104" t="s">
        <v>246</v>
      </c>
      <c r="B11" s="40" t="s">
        <v>78</v>
      </c>
      <c r="C11" s="33"/>
      <c r="D11" s="33"/>
      <c r="E11" s="33"/>
      <c r="F11" s="33"/>
      <c r="G11" s="33"/>
      <c r="H11" s="34"/>
    </row>
    <row r="12" ht="15.75" customHeight="1">
      <c r="A12" s="104" t="s">
        <v>246</v>
      </c>
      <c r="B12" s="40" t="s">
        <v>265</v>
      </c>
      <c r="C12" s="33"/>
      <c r="D12" s="33"/>
      <c r="E12" s="33"/>
      <c r="F12" s="33"/>
      <c r="G12" s="33"/>
      <c r="H12" s="34"/>
    </row>
    <row r="13" ht="15.75" customHeight="1">
      <c r="A13" s="104" t="s">
        <v>246</v>
      </c>
      <c r="B13" s="40" t="s">
        <v>98</v>
      </c>
      <c r="C13" s="33"/>
      <c r="D13" s="33"/>
      <c r="E13" s="33"/>
      <c r="F13" s="33"/>
      <c r="G13" s="33"/>
      <c r="H13" s="34"/>
    </row>
    <row r="14" ht="15.75" customHeight="1">
      <c r="A14" s="104" t="s">
        <v>328</v>
      </c>
      <c r="B14" s="40" t="s">
        <v>329</v>
      </c>
      <c r="C14" s="33"/>
      <c r="D14" s="33"/>
      <c r="E14" s="33"/>
      <c r="F14" s="33"/>
      <c r="G14" s="33"/>
      <c r="H14" s="34"/>
    </row>
    <row r="15" ht="15.75" customHeight="1">
      <c r="A15" s="102" t="s">
        <v>330</v>
      </c>
      <c r="B15" s="33"/>
      <c r="C15" s="33"/>
      <c r="D15" s="33"/>
      <c r="E15" s="33"/>
      <c r="F15" s="33"/>
      <c r="G15" s="33"/>
      <c r="H15" s="34"/>
    </row>
    <row r="16" ht="15.75" customHeight="1">
      <c r="A16" s="117" t="s">
        <v>331</v>
      </c>
      <c r="B16" s="64"/>
      <c r="C16" s="64"/>
      <c r="D16" s="64"/>
      <c r="E16" s="64"/>
      <c r="F16" s="64"/>
      <c r="G16" s="64"/>
      <c r="H16" s="65"/>
    </row>
    <row r="17" ht="15.75" customHeight="1">
      <c r="A17" s="112"/>
      <c r="H17" s="113"/>
    </row>
    <row r="18" ht="15.75" customHeight="1">
      <c r="A18" s="66"/>
      <c r="B18" s="67"/>
      <c r="C18" s="67"/>
      <c r="D18" s="67"/>
      <c r="E18" s="67"/>
      <c r="F18" s="67"/>
      <c r="G18" s="67"/>
      <c r="H18" s="68"/>
    </row>
    <row r="19" ht="15.75" customHeight="1">
      <c r="A19" s="102" t="s">
        <v>332</v>
      </c>
      <c r="B19" s="33"/>
      <c r="C19" s="33"/>
      <c r="D19" s="33"/>
      <c r="E19" s="33"/>
      <c r="F19" s="33"/>
      <c r="G19" s="33"/>
      <c r="H19" s="34"/>
    </row>
    <row r="20" ht="15.75" customHeight="1">
      <c r="A20" s="63" t="s">
        <v>333</v>
      </c>
      <c r="B20" s="64"/>
      <c r="C20" s="64"/>
      <c r="D20" s="64"/>
      <c r="E20" s="64"/>
      <c r="F20" s="64"/>
      <c r="G20" s="64"/>
      <c r="H20" s="65"/>
    </row>
    <row r="21" ht="15.75" customHeight="1">
      <c r="A21" s="112"/>
      <c r="H21" s="113"/>
    </row>
    <row r="22" ht="15.75" customHeight="1">
      <c r="A22" s="112"/>
      <c r="H22" s="113"/>
    </row>
    <row r="23" ht="15.75" customHeight="1">
      <c r="A23" s="66"/>
      <c r="B23" s="67"/>
      <c r="C23" s="67"/>
      <c r="D23" s="67"/>
      <c r="E23" s="67"/>
      <c r="F23" s="67"/>
      <c r="G23" s="67"/>
      <c r="H23" s="68"/>
    </row>
    <row r="24" ht="15.75" customHeight="1"/>
    <row r="25" ht="15.75" customHeight="1"/>
    <row r="26" ht="15.75" customHeight="1">
      <c r="A26" s="100" t="s">
        <v>334</v>
      </c>
      <c r="E26" s="96" t="s">
        <v>234</v>
      </c>
      <c r="F26" s="101"/>
      <c r="G26" s="96" t="s">
        <v>327</v>
      </c>
      <c r="H26" s="101"/>
    </row>
    <row r="27" ht="15.75" customHeight="1">
      <c r="A27" s="71" t="s">
        <v>256</v>
      </c>
    </row>
    <row r="28" ht="15.75" customHeight="1">
      <c r="A28" s="104" t="s">
        <v>246</v>
      </c>
      <c r="B28" s="83"/>
      <c r="C28" s="33"/>
      <c r="D28" s="33"/>
      <c r="E28" s="33"/>
      <c r="F28" s="33"/>
      <c r="G28" s="33"/>
      <c r="H28" s="34"/>
    </row>
    <row r="29" ht="15.75" customHeight="1">
      <c r="A29" s="104" t="s">
        <v>246</v>
      </c>
      <c r="B29" s="83"/>
      <c r="C29" s="33"/>
      <c r="D29" s="33"/>
      <c r="E29" s="33"/>
      <c r="F29" s="33"/>
      <c r="G29" s="33"/>
      <c r="H29" s="34"/>
    </row>
    <row r="30" ht="15.75" customHeight="1">
      <c r="A30" s="104" t="s">
        <v>246</v>
      </c>
      <c r="B30" s="83"/>
      <c r="C30" s="33"/>
      <c r="D30" s="33"/>
      <c r="E30" s="33"/>
      <c r="F30" s="33"/>
      <c r="G30" s="33"/>
      <c r="H30" s="34"/>
    </row>
    <row r="31" ht="15.75" customHeight="1">
      <c r="A31" s="104" t="s">
        <v>328</v>
      </c>
      <c r="B31" s="83"/>
      <c r="C31" s="33"/>
      <c r="D31" s="33"/>
      <c r="E31" s="33"/>
      <c r="F31" s="33"/>
      <c r="G31" s="33"/>
      <c r="H31" s="34"/>
    </row>
    <row r="32" ht="15.75" customHeight="1">
      <c r="A32" s="102" t="s">
        <v>330</v>
      </c>
      <c r="B32" s="33"/>
      <c r="C32" s="33"/>
      <c r="D32" s="33"/>
      <c r="E32" s="33"/>
      <c r="F32" s="33"/>
      <c r="G32" s="33"/>
      <c r="H32" s="34"/>
    </row>
    <row r="33" ht="15.75" customHeight="1">
      <c r="A33" s="116"/>
      <c r="B33" s="64"/>
      <c r="C33" s="64"/>
      <c r="D33" s="64"/>
      <c r="E33" s="64"/>
      <c r="F33" s="64"/>
      <c r="G33" s="64"/>
      <c r="H33" s="65"/>
    </row>
    <row r="34" ht="15.75" customHeight="1">
      <c r="A34" s="112"/>
      <c r="H34" s="113"/>
    </row>
    <row r="35" ht="15.75" customHeight="1">
      <c r="A35" s="66"/>
      <c r="B35" s="67"/>
      <c r="C35" s="67"/>
      <c r="D35" s="67"/>
      <c r="E35" s="67"/>
      <c r="F35" s="67"/>
      <c r="G35" s="67"/>
      <c r="H35" s="68"/>
    </row>
    <row r="36" ht="15.75" customHeight="1">
      <c r="A36" s="102" t="s">
        <v>332</v>
      </c>
      <c r="B36" s="33"/>
      <c r="C36" s="33"/>
      <c r="D36" s="33"/>
      <c r="E36" s="33"/>
      <c r="F36" s="33"/>
      <c r="G36" s="33"/>
      <c r="H36" s="34"/>
    </row>
    <row r="37" ht="15.75" customHeight="1">
      <c r="A37" s="116"/>
      <c r="B37" s="64"/>
      <c r="C37" s="64"/>
      <c r="D37" s="64"/>
      <c r="E37" s="64"/>
      <c r="F37" s="64"/>
      <c r="G37" s="64"/>
      <c r="H37" s="65"/>
    </row>
    <row r="38" ht="15.75" customHeight="1">
      <c r="A38" s="112"/>
      <c r="H38" s="113"/>
    </row>
    <row r="39" ht="15.75" customHeight="1">
      <c r="A39" s="112"/>
      <c r="H39" s="113"/>
    </row>
    <row r="40" ht="15.75" customHeight="1">
      <c r="A40" s="66"/>
      <c r="B40" s="67"/>
      <c r="C40" s="67"/>
      <c r="D40" s="67"/>
      <c r="E40" s="67"/>
      <c r="F40" s="67"/>
      <c r="G40" s="67"/>
      <c r="H40" s="68"/>
    </row>
    <row r="41" ht="15.75" customHeight="1"/>
    <row r="42" ht="15.75" customHeight="1"/>
    <row r="43" ht="15.75" customHeight="1">
      <c r="A43" s="100" t="s">
        <v>335</v>
      </c>
      <c r="E43" s="96" t="s">
        <v>234</v>
      </c>
      <c r="F43" s="101"/>
      <c r="G43" s="96" t="s">
        <v>327</v>
      </c>
      <c r="H43" s="101"/>
    </row>
    <row r="44" ht="15.75" customHeight="1">
      <c r="A44" s="111" t="s">
        <v>336</v>
      </c>
    </row>
    <row r="45" ht="15.75" customHeight="1">
      <c r="A45" s="104" t="s">
        <v>246</v>
      </c>
      <c r="B45" s="83"/>
      <c r="C45" s="33"/>
      <c r="D45" s="33"/>
      <c r="E45" s="33"/>
      <c r="F45" s="33"/>
      <c r="G45" s="33"/>
      <c r="H45" s="34"/>
    </row>
    <row r="46" ht="15.75" customHeight="1">
      <c r="A46" s="104" t="s">
        <v>246</v>
      </c>
      <c r="B46" s="83"/>
      <c r="C46" s="33"/>
      <c r="D46" s="33"/>
      <c r="E46" s="33"/>
      <c r="F46" s="33"/>
      <c r="G46" s="33"/>
      <c r="H46" s="34"/>
    </row>
    <row r="47" ht="15.75" customHeight="1">
      <c r="A47" s="104" t="s">
        <v>246</v>
      </c>
      <c r="B47" s="83"/>
      <c r="C47" s="33"/>
      <c r="D47" s="33"/>
      <c r="E47" s="33"/>
      <c r="F47" s="33"/>
      <c r="G47" s="33"/>
      <c r="H47" s="34"/>
    </row>
    <row r="48" ht="15.75" customHeight="1">
      <c r="A48" s="104" t="s">
        <v>328</v>
      </c>
      <c r="B48" s="83"/>
      <c r="C48" s="33"/>
      <c r="D48" s="33"/>
      <c r="E48" s="33"/>
      <c r="F48" s="33"/>
      <c r="G48" s="33"/>
      <c r="H48" s="34"/>
    </row>
    <row r="49" ht="15.75" customHeight="1">
      <c r="A49" s="102" t="s">
        <v>330</v>
      </c>
      <c r="B49" s="33"/>
      <c r="C49" s="33"/>
      <c r="D49" s="33"/>
      <c r="E49" s="33"/>
      <c r="F49" s="33"/>
      <c r="G49" s="33"/>
      <c r="H49" s="34"/>
    </row>
    <row r="50" ht="15.75" customHeight="1">
      <c r="A50" s="116"/>
      <c r="B50" s="64"/>
      <c r="C50" s="64"/>
      <c r="D50" s="64"/>
      <c r="E50" s="64"/>
      <c r="F50" s="64"/>
      <c r="G50" s="64"/>
      <c r="H50" s="65"/>
    </row>
    <row r="51" ht="15.75" customHeight="1">
      <c r="A51" s="112"/>
      <c r="H51" s="113"/>
    </row>
    <row r="52" ht="15.75" customHeight="1">
      <c r="A52" s="66"/>
      <c r="B52" s="67"/>
      <c r="C52" s="67"/>
      <c r="D52" s="67"/>
      <c r="E52" s="67"/>
      <c r="F52" s="67"/>
      <c r="G52" s="67"/>
      <c r="H52" s="68"/>
    </row>
    <row r="53" ht="15.75" customHeight="1">
      <c r="A53" s="102" t="s">
        <v>332</v>
      </c>
      <c r="B53" s="33"/>
      <c r="C53" s="33"/>
      <c r="D53" s="33"/>
      <c r="E53" s="33"/>
      <c r="F53" s="33"/>
      <c r="G53" s="33"/>
      <c r="H53" s="34"/>
    </row>
    <row r="54" ht="15.75" customHeight="1">
      <c r="A54" s="116"/>
      <c r="B54" s="64"/>
      <c r="C54" s="64"/>
      <c r="D54" s="64"/>
      <c r="E54" s="64"/>
      <c r="F54" s="64"/>
      <c r="G54" s="64"/>
      <c r="H54" s="65"/>
    </row>
    <row r="55" ht="15.75" customHeight="1">
      <c r="A55" s="112"/>
      <c r="H55" s="113"/>
    </row>
    <row r="56" ht="15.75" customHeight="1">
      <c r="A56" s="112"/>
      <c r="H56" s="113"/>
    </row>
    <row r="57" ht="15.75" customHeight="1">
      <c r="A57" s="66"/>
      <c r="B57" s="67"/>
      <c r="C57" s="67"/>
      <c r="D57" s="67"/>
      <c r="E57" s="67"/>
      <c r="F57" s="67"/>
      <c r="G57" s="67"/>
      <c r="H57" s="68"/>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337</v>
      </c>
    </row>
    <row r="3" ht="15.75" customHeight="1"/>
    <row r="4" ht="15.75" customHeight="1">
      <c r="B4" s="82" t="s">
        <v>1</v>
      </c>
      <c r="C4" s="83" t="str">
        <f>'Diseño'!C4</f>
        <v>722 - Teoría de Sistemas 1</v>
      </c>
      <c r="D4" s="33"/>
      <c r="E4" s="33"/>
      <c r="F4" s="33"/>
      <c r="G4" s="34"/>
    </row>
    <row r="5" ht="15.75" customHeight="1">
      <c r="B5" s="98" t="s">
        <v>193</v>
      </c>
      <c r="C5" s="83">
        <f>H9+H26+H43+H60+H77+H94+H111</f>
        <v>8</v>
      </c>
      <c r="D5" s="33"/>
      <c r="E5" s="33"/>
      <c r="F5" s="33"/>
      <c r="G5" s="34"/>
    </row>
    <row r="6" ht="15.75" customHeight="1">
      <c r="B6" s="98" t="s">
        <v>234</v>
      </c>
      <c r="C6" s="83">
        <f>F9+F26+F43+F60+F77+F94+F111</f>
        <v>20</v>
      </c>
      <c r="D6" s="33"/>
      <c r="E6" s="33"/>
      <c r="F6" s="33"/>
      <c r="G6" s="34"/>
    </row>
    <row r="7" ht="15.75" customHeight="1">
      <c r="B7" s="71" t="s">
        <v>338</v>
      </c>
    </row>
    <row r="8" ht="15.75" customHeight="1"/>
    <row r="9" ht="15.75" customHeight="1">
      <c r="A9" s="100" t="s">
        <v>339</v>
      </c>
      <c r="E9" s="96" t="s">
        <v>234</v>
      </c>
      <c r="F9" s="123">
        <v>20.0</v>
      </c>
      <c r="G9" s="96" t="s">
        <v>327</v>
      </c>
      <c r="H9" s="123">
        <v>8.0</v>
      </c>
    </row>
    <row r="10" ht="15.75" customHeight="1">
      <c r="A10" s="71" t="s">
        <v>340</v>
      </c>
    </row>
    <row r="11" ht="15.75" customHeight="1">
      <c r="A11" s="104" t="s">
        <v>246</v>
      </c>
      <c r="B11" s="40" t="s">
        <v>78</v>
      </c>
      <c r="C11" s="33"/>
      <c r="D11" s="33"/>
      <c r="E11" s="33"/>
      <c r="F11" s="33"/>
      <c r="G11" s="33"/>
      <c r="H11" s="34"/>
    </row>
    <row r="12" ht="15.75" customHeight="1">
      <c r="A12" s="104" t="s">
        <v>246</v>
      </c>
      <c r="B12" s="40" t="s">
        <v>98</v>
      </c>
      <c r="C12" s="33"/>
      <c r="D12" s="33"/>
      <c r="E12" s="33"/>
      <c r="F12" s="33"/>
      <c r="G12" s="33"/>
      <c r="H12" s="34"/>
    </row>
    <row r="13" ht="15.75" customHeight="1">
      <c r="A13" s="104" t="s">
        <v>246</v>
      </c>
      <c r="B13" s="36" t="s">
        <v>125</v>
      </c>
      <c r="C13" s="33"/>
      <c r="D13" s="33"/>
      <c r="E13" s="33"/>
      <c r="F13" s="33"/>
      <c r="G13" s="33"/>
      <c r="H13" s="34"/>
    </row>
    <row r="14" ht="15.75" customHeight="1">
      <c r="A14" s="104" t="s">
        <v>328</v>
      </c>
      <c r="B14" s="40" t="s">
        <v>341</v>
      </c>
      <c r="C14" s="33"/>
      <c r="D14" s="33"/>
      <c r="E14" s="33"/>
      <c r="F14" s="33"/>
      <c r="G14" s="33"/>
      <c r="H14" s="34"/>
    </row>
    <row r="15" ht="15.75" customHeight="1">
      <c r="A15" s="102" t="s">
        <v>330</v>
      </c>
      <c r="B15" s="33"/>
      <c r="C15" s="33"/>
      <c r="D15" s="33"/>
      <c r="E15" s="33"/>
      <c r="F15" s="33"/>
      <c r="G15" s="33"/>
      <c r="H15" s="34"/>
    </row>
    <row r="16" ht="15.75" customHeight="1">
      <c r="A16" s="63" t="s">
        <v>342</v>
      </c>
      <c r="B16" s="64"/>
      <c r="C16" s="64"/>
      <c r="D16" s="64"/>
      <c r="E16" s="64"/>
      <c r="F16" s="64"/>
      <c r="G16" s="64"/>
      <c r="H16" s="65"/>
    </row>
    <row r="17" ht="15.75" customHeight="1">
      <c r="A17" s="112"/>
      <c r="H17" s="113"/>
    </row>
    <row r="18" ht="15.75" customHeight="1">
      <c r="A18" s="66"/>
      <c r="B18" s="67"/>
      <c r="C18" s="67"/>
      <c r="D18" s="67"/>
      <c r="E18" s="67"/>
      <c r="F18" s="67"/>
      <c r="G18" s="67"/>
      <c r="H18" s="68"/>
    </row>
    <row r="19" ht="15.75" customHeight="1">
      <c r="A19" s="102" t="s">
        <v>332</v>
      </c>
      <c r="B19" s="33"/>
      <c r="C19" s="33"/>
      <c r="D19" s="33"/>
      <c r="E19" s="33"/>
      <c r="F19" s="33"/>
      <c r="G19" s="33"/>
      <c r="H19" s="34"/>
    </row>
    <row r="20" ht="15.75" customHeight="1">
      <c r="A20" s="63" t="s">
        <v>343</v>
      </c>
      <c r="B20" s="64"/>
      <c r="C20" s="64"/>
      <c r="D20" s="64"/>
      <c r="E20" s="64"/>
      <c r="F20" s="64"/>
      <c r="G20" s="64"/>
      <c r="H20" s="65"/>
    </row>
    <row r="21" ht="15.75" customHeight="1">
      <c r="A21" s="112"/>
      <c r="H21" s="113"/>
    </row>
    <row r="22" ht="15.75" customHeight="1">
      <c r="A22" s="112"/>
      <c r="H22" s="113"/>
    </row>
    <row r="23" ht="15.75" customHeight="1">
      <c r="A23" s="66"/>
      <c r="B23" s="67"/>
      <c r="C23" s="67"/>
      <c r="D23" s="67"/>
      <c r="E23" s="67"/>
      <c r="F23" s="67"/>
      <c r="G23" s="67"/>
      <c r="H23" s="68"/>
    </row>
    <row r="24" ht="15.75" customHeight="1"/>
    <row r="25" ht="15.75" customHeight="1"/>
    <row r="26" ht="15.75" customHeight="1">
      <c r="A26" s="100" t="s">
        <v>344</v>
      </c>
      <c r="E26" s="96" t="s">
        <v>234</v>
      </c>
      <c r="F26" s="101"/>
      <c r="G26" s="96" t="s">
        <v>327</v>
      </c>
      <c r="H26" s="101"/>
    </row>
    <row r="27" ht="15.75" customHeight="1">
      <c r="A27" s="111" t="s">
        <v>336</v>
      </c>
    </row>
    <row r="28" ht="15.75" customHeight="1">
      <c r="A28" s="104" t="s">
        <v>246</v>
      </c>
      <c r="B28" s="83"/>
      <c r="C28" s="33"/>
      <c r="D28" s="33"/>
      <c r="E28" s="33"/>
      <c r="F28" s="33"/>
      <c r="G28" s="33"/>
      <c r="H28" s="34"/>
    </row>
    <row r="29" ht="15.75" customHeight="1">
      <c r="A29" s="104" t="s">
        <v>246</v>
      </c>
      <c r="B29" s="83"/>
      <c r="C29" s="33"/>
      <c r="D29" s="33"/>
      <c r="E29" s="33"/>
      <c r="F29" s="33"/>
      <c r="G29" s="33"/>
      <c r="H29" s="34"/>
    </row>
    <row r="30" ht="15.75" customHeight="1">
      <c r="A30" s="104" t="s">
        <v>246</v>
      </c>
      <c r="B30" s="83"/>
      <c r="C30" s="33"/>
      <c r="D30" s="33"/>
      <c r="E30" s="33"/>
      <c r="F30" s="33"/>
      <c r="G30" s="33"/>
      <c r="H30" s="34"/>
    </row>
    <row r="31" ht="15.75" customHeight="1">
      <c r="A31" s="104" t="s">
        <v>328</v>
      </c>
      <c r="B31" s="83"/>
      <c r="C31" s="33"/>
      <c r="D31" s="33"/>
      <c r="E31" s="33"/>
      <c r="F31" s="33"/>
      <c r="G31" s="33"/>
      <c r="H31" s="34"/>
    </row>
    <row r="32" ht="15.75" customHeight="1">
      <c r="A32" s="102" t="s">
        <v>330</v>
      </c>
      <c r="B32" s="33"/>
      <c r="C32" s="33"/>
      <c r="D32" s="33"/>
      <c r="E32" s="33"/>
      <c r="F32" s="33"/>
      <c r="G32" s="33"/>
      <c r="H32" s="34"/>
    </row>
    <row r="33" ht="15.75" customHeight="1">
      <c r="A33" s="116"/>
      <c r="B33" s="64"/>
      <c r="C33" s="64"/>
      <c r="D33" s="64"/>
      <c r="E33" s="64"/>
      <c r="F33" s="64"/>
      <c r="G33" s="64"/>
      <c r="H33" s="65"/>
    </row>
    <row r="34" ht="15.75" customHeight="1">
      <c r="A34" s="112"/>
      <c r="H34" s="113"/>
    </row>
    <row r="35" ht="15.75" customHeight="1">
      <c r="A35" s="66"/>
      <c r="B35" s="67"/>
      <c r="C35" s="67"/>
      <c r="D35" s="67"/>
      <c r="E35" s="67"/>
      <c r="F35" s="67"/>
      <c r="G35" s="67"/>
      <c r="H35" s="68"/>
    </row>
    <row r="36" ht="15.75" customHeight="1">
      <c r="A36" s="102" t="s">
        <v>332</v>
      </c>
      <c r="B36" s="33"/>
      <c r="C36" s="33"/>
      <c r="D36" s="33"/>
      <c r="E36" s="33"/>
      <c r="F36" s="33"/>
      <c r="G36" s="33"/>
      <c r="H36" s="34"/>
    </row>
    <row r="37" ht="15.75" customHeight="1">
      <c r="A37" s="116"/>
      <c r="B37" s="64"/>
      <c r="C37" s="64"/>
      <c r="D37" s="64"/>
      <c r="E37" s="64"/>
      <c r="F37" s="64"/>
      <c r="G37" s="64"/>
      <c r="H37" s="65"/>
    </row>
    <row r="38" ht="15.75" customHeight="1">
      <c r="A38" s="112"/>
      <c r="H38" s="113"/>
    </row>
    <row r="39" ht="15.75" customHeight="1">
      <c r="A39" s="112"/>
      <c r="H39" s="113"/>
    </row>
    <row r="40" ht="15.75" customHeight="1">
      <c r="A40" s="66"/>
      <c r="B40" s="67"/>
      <c r="C40" s="67"/>
      <c r="D40" s="67"/>
      <c r="E40" s="67"/>
      <c r="F40" s="67"/>
      <c r="G40" s="67"/>
      <c r="H40" s="68"/>
    </row>
    <row r="41" ht="15.75" customHeight="1"/>
    <row r="42" ht="15.75" customHeight="1"/>
    <row r="43" ht="15.75" customHeight="1">
      <c r="A43" s="100" t="s">
        <v>345</v>
      </c>
      <c r="E43" s="96" t="s">
        <v>234</v>
      </c>
      <c r="F43" s="101"/>
      <c r="G43" s="96" t="s">
        <v>327</v>
      </c>
      <c r="H43" s="101"/>
    </row>
    <row r="44" ht="15.75" customHeight="1">
      <c r="A44" s="111" t="s">
        <v>336</v>
      </c>
    </row>
    <row r="45" ht="15.75" customHeight="1">
      <c r="A45" s="104" t="s">
        <v>246</v>
      </c>
      <c r="B45" s="83"/>
      <c r="C45" s="33"/>
      <c r="D45" s="33"/>
      <c r="E45" s="33"/>
      <c r="F45" s="33"/>
      <c r="G45" s="33"/>
      <c r="H45" s="34"/>
    </row>
    <row r="46" ht="15.75" customHeight="1">
      <c r="A46" s="104" t="s">
        <v>246</v>
      </c>
      <c r="B46" s="83"/>
      <c r="C46" s="33"/>
      <c r="D46" s="33"/>
      <c r="E46" s="33"/>
      <c r="F46" s="33"/>
      <c r="G46" s="33"/>
      <c r="H46" s="34"/>
    </row>
    <row r="47" ht="15.75" customHeight="1">
      <c r="A47" s="104" t="s">
        <v>246</v>
      </c>
      <c r="B47" s="83"/>
      <c r="C47" s="33"/>
      <c r="D47" s="33"/>
      <c r="E47" s="33"/>
      <c r="F47" s="33"/>
      <c r="G47" s="33"/>
      <c r="H47" s="34"/>
    </row>
    <row r="48" ht="15.75" customHeight="1">
      <c r="A48" s="104" t="s">
        <v>328</v>
      </c>
      <c r="B48" s="83"/>
      <c r="C48" s="33"/>
      <c r="D48" s="33"/>
      <c r="E48" s="33"/>
      <c r="F48" s="33"/>
      <c r="G48" s="33"/>
      <c r="H48" s="34"/>
    </row>
    <row r="49" ht="15.75" customHeight="1">
      <c r="A49" s="102" t="s">
        <v>330</v>
      </c>
      <c r="B49" s="33"/>
      <c r="C49" s="33"/>
      <c r="D49" s="33"/>
      <c r="E49" s="33"/>
      <c r="F49" s="33"/>
      <c r="G49" s="33"/>
      <c r="H49" s="34"/>
    </row>
    <row r="50" ht="15.75" customHeight="1">
      <c r="A50" s="116"/>
      <c r="B50" s="64"/>
      <c r="C50" s="64"/>
      <c r="D50" s="64"/>
      <c r="E50" s="64"/>
      <c r="F50" s="64"/>
      <c r="G50" s="64"/>
      <c r="H50" s="65"/>
    </row>
    <row r="51" ht="15.75" customHeight="1">
      <c r="A51" s="112"/>
      <c r="H51" s="113"/>
    </row>
    <row r="52" ht="15.75" customHeight="1">
      <c r="A52" s="66"/>
      <c r="B52" s="67"/>
      <c r="C52" s="67"/>
      <c r="D52" s="67"/>
      <c r="E52" s="67"/>
      <c r="F52" s="67"/>
      <c r="G52" s="67"/>
      <c r="H52" s="68"/>
    </row>
    <row r="53" ht="15.75" customHeight="1">
      <c r="A53" s="102" t="s">
        <v>332</v>
      </c>
      <c r="B53" s="33"/>
      <c r="C53" s="33"/>
      <c r="D53" s="33"/>
      <c r="E53" s="33"/>
      <c r="F53" s="33"/>
      <c r="G53" s="33"/>
      <c r="H53" s="34"/>
    </row>
    <row r="54" ht="15.75" customHeight="1">
      <c r="A54" s="116"/>
      <c r="B54" s="64"/>
      <c r="C54" s="64"/>
      <c r="D54" s="64"/>
      <c r="E54" s="64"/>
      <c r="F54" s="64"/>
      <c r="G54" s="64"/>
      <c r="H54" s="65"/>
    </row>
    <row r="55" ht="15.75" customHeight="1">
      <c r="A55" s="112"/>
      <c r="H55" s="113"/>
    </row>
    <row r="56" ht="15.75" customHeight="1">
      <c r="A56" s="112"/>
      <c r="H56" s="113"/>
    </row>
    <row r="57" ht="15.75" customHeight="1">
      <c r="A57" s="66"/>
      <c r="B57" s="67"/>
      <c r="C57" s="67"/>
      <c r="D57" s="67"/>
      <c r="E57" s="67"/>
      <c r="F57" s="67"/>
      <c r="G57" s="67"/>
      <c r="H57" s="68"/>
    </row>
    <row r="58" ht="15.75" customHeight="1"/>
    <row r="59" ht="15.75" customHeight="1"/>
    <row r="60" ht="15.75" customHeight="1">
      <c r="A60" s="100" t="s">
        <v>346</v>
      </c>
      <c r="E60" s="96" t="s">
        <v>234</v>
      </c>
      <c r="F60" s="101"/>
      <c r="G60" s="96" t="s">
        <v>327</v>
      </c>
      <c r="H60" s="101"/>
    </row>
    <row r="61" ht="15.75" customHeight="1">
      <c r="A61" s="111" t="s">
        <v>336</v>
      </c>
    </row>
    <row r="62" ht="15.75" customHeight="1">
      <c r="A62" s="104" t="s">
        <v>246</v>
      </c>
      <c r="B62" s="83"/>
      <c r="C62" s="33"/>
      <c r="D62" s="33"/>
      <c r="E62" s="33"/>
      <c r="F62" s="33"/>
      <c r="G62" s="33"/>
      <c r="H62" s="34"/>
    </row>
    <row r="63" ht="15.75" customHeight="1">
      <c r="A63" s="104" t="s">
        <v>246</v>
      </c>
      <c r="B63" s="83"/>
      <c r="C63" s="33"/>
      <c r="D63" s="33"/>
      <c r="E63" s="33"/>
      <c r="F63" s="33"/>
      <c r="G63" s="33"/>
      <c r="H63" s="34"/>
    </row>
    <row r="64" ht="15.75" customHeight="1">
      <c r="A64" s="104" t="s">
        <v>246</v>
      </c>
      <c r="B64" s="83"/>
      <c r="C64" s="33"/>
      <c r="D64" s="33"/>
      <c r="E64" s="33"/>
      <c r="F64" s="33"/>
      <c r="G64" s="33"/>
      <c r="H64" s="34"/>
    </row>
    <row r="65" ht="15.75" customHeight="1">
      <c r="A65" s="104" t="s">
        <v>328</v>
      </c>
      <c r="B65" s="83"/>
      <c r="C65" s="33"/>
      <c r="D65" s="33"/>
      <c r="E65" s="33"/>
      <c r="F65" s="33"/>
      <c r="G65" s="33"/>
      <c r="H65" s="34"/>
    </row>
    <row r="66" ht="15.75" customHeight="1">
      <c r="A66" s="102" t="s">
        <v>330</v>
      </c>
      <c r="B66" s="33"/>
      <c r="C66" s="33"/>
      <c r="D66" s="33"/>
      <c r="E66" s="33"/>
      <c r="F66" s="33"/>
      <c r="G66" s="33"/>
      <c r="H66" s="34"/>
    </row>
    <row r="67" ht="15.75" customHeight="1">
      <c r="A67" s="116"/>
      <c r="B67" s="64"/>
      <c r="C67" s="64"/>
      <c r="D67" s="64"/>
      <c r="E67" s="64"/>
      <c r="F67" s="64"/>
      <c r="G67" s="64"/>
      <c r="H67" s="65"/>
    </row>
    <row r="68" ht="15.75" customHeight="1">
      <c r="A68" s="112"/>
      <c r="H68" s="113"/>
    </row>
    <row r="69" ht="15.75" customHeight="1">
      <c r="A69" s="66"/>
      <c r="B69" s="67"/>
      <c r="C69" s="67"/>
      <c r="D69" s="67"/>
      <c r="E69" s="67"/>
      <c r="F69" s="67"/>
      <c r="G69" s="67"/>
      <c r="H69" s="68"/>
    </row>
    <row r="70" ht="15.75" customHeight="1">
      <c r="A70" s="102" t="s">
        <v>332</v>
      </c>
      <c r="B70" s="33"/>
      <c r="C70" s="33"/>
      <c r="D70" s="33"/>
      <c r="E70" s="33"/>
      <c r="F70" s="33"/>
      <c r="G70" s="33"/>
      <c r="H70" s="34"/>
    </row>
    <row r="71" ht="15.75" customHeight="1">
      <c r="A71" s="116"/>
      <c r="B71" s="64"/>
      <c r="C71" s="64"/>
      <c r="D71" s="64"/>
      <c r="E71" s="64"/>
      <c r="F71" s="64"/>
      <c r="G71" s="64"/>
      <c r="H71" s="65"/>
    </row>
    <row r="72" ht="15.75" customHeight="1">
      <c r="A72" s="112"/>
      <c r="H72" s="113"/>
    </row>
    <row r="73" ht="15.75" customHeight="1">
      <c r="A73" s="112"/>
      <c r="H73" s="113"/>
    </row>
    <row r="74" ht="15.75" customHeight="1">
      <c r="A74" s="66"/>
      <c r="B74" s="67"/>
      <c r="C74" s="67"/>
      <c r="D74" s="67"/>
      <c r="E74" s="67"/>
      <c r="F74" s="67"/>
      <c r="G74" s="67"/>
      <c r="H74" s="68"/>
    </row>
    <row r="75" ht="15.75" customHeight="1"/>
    <row r="76" ht="15.75" customHeight="1"/>
    <row r="77" ht="15.75" customHeight="1">
      <c r="A77" s="100" t="s">
        <v>347</v>
      </c>
      <c r="E77" s="96" t="s">
        <v>234</v>
      </c>
      <c r="F77" s="101"/>
      <c r="G77" s="96" t="s">
        <v>327</v>
      </c>
      <c r="H77" s="101"/>
    </row>
    <row r="78" ht="15.75" customHeight="1">
      <c r="A78" s="111" t="s">
        <v>336</v>
      </c>
    </row>
    <row r="79" ht="15.75" customHeight="1">
      <c r="A79" s="104" t="s">
        <v>246</v>
      </c>
      <c r="B79" s="83"/>
      <c r="C79" s="33"/>
      <c r="D79" s="33"/>
      <c r="E79" s="33"/>
      <c r="F79" s="33"/>
      <c r="G79" s="33"/>
      <c r="H79" s="34"/>
    </row>
    <row r="80" ht="15.75" customHeight="1">
      <c r="A80" s="104" t="s">
        <v>246</v>
      </c>
      <c r="B80" s="83"/>
      <c r="C80" s="33"/>
      <c r="D80" s="33"/>
      <c r="E80" s="33"/>
      <c r="F80" s="33"/>
      <c r="G80" s="33"/>
      <c r="H80" s="34"/>
    </row>
    <row r="81" ht="15.75" customHeight="1">
      <c r="A81" s="104" t="s">
        <v>246</v>
      </c>
      <c r="B81" s="83"/>
      <c r="C81" s="33"/>
      <c r="D81" s="33"/>
      <c r="E81" s="33"/>
      <c r="F81" s="33"/>
      <c r="G81" s="33"/>
      <c r="H81" s="34"/>
    </row>
    <row r="82" ht="15.75" customHeight="1">
      <c r="A82" s="104" t="s">
        <v>328</v>
      </c>
      <c r="B82" s="83"/>
      <c r="C82" s="33"/>
      <c r="D82" s="33"/>
      <c r="E82" s="33"/>
      <c r="F82" s="33"/>
      <c r="G82" s="33"/>
      <c r="H82" s="34"/>
    </row>
    <row r="83" ht="15.75" customHeight="1">
      <c r="A83" s="102" t="s">
        <v>330</v>
      </c>
      <c r="B83" s="33"/>
      <c r="C83" s="33"/>
      <c r="D83" s="33"/>
      <c r="E83" s="33"/>
      <c r="F83" s="33"/>
      <c r="G83" s="33"/>
      <c r="H83" s="34"/>
    </row>
    <row r="84" ht="15.75" customHeight="1">
      <c r="A84" s="116"/>
      <c r="B84" s="64"/>
      <c r="C84" s="64"/>
      <c r="D84" s="64"/>
      <c r="E84" s="64"/>
      <c r="F84" s="64"/>
      <c r="G84" s="64"/>
      <c r="H84" s="65"/>
    </row>
    <row r="85" ht="15.75" customHeight="1">
      <c r="A85" s="112"/>
      <c r="H85" s="113"/>
    </row>
    <row r="86" ht="15.75" customHeight="1">
      <c r="A86" s="66"/>
      <c r="B86" s="67"/>
      <c r="C86" s="67"/>
      <c r="D86" s="67"/>
      <c r="E86" s="67"/>
      <c r="F86" s="67"/>
      <c r="G86" s="67"/>
      <c r="H86" s="68"/>
    </row>
    <row r="87" ht="15.75" customHeight="1">
      <c r="A87" s="102" t="s">
        <v>332</v>
      </c>
      <c r="B87" s="33"/>
      <c r="C87" s="33"/>
      <c r="D87" s="33"/>
      <c r="E87" s="33"/>
      <c r="F87" s="33"/>
      <c r="G87" s="33"/>
      <c r="H87" s="34"/>
    </row>
    <row r="88" ht="15.75" customHeight="1">
      <c r="A88" s="116"/>
      <c r="B88" s="64"/>
      <c r="C88" s="64"/>
      <c r="D88" s="64"/>
      <c r="E88" s="64"/>
      <c r="F88" s="64"/>
      <c r="G88" s="64"/>
      <c r="H88" s="65"/>
    </row>
    <row r="89" ht="15.75" customHeight="1">
      <c r="A89" s="112"/>
      <c r="H89" s="113"/>
    </row>
    <row r="90" ht="15.75" customHeight="1">
      <c r="A90" s="112"/>
      <c r="H90" s="113"/>
    </row>
    <row r="91" ht="15.75" customHeight="1">
      <c r="A91" s="66"/>
      <c r="B91" s="67"/>
      <c r="C91" s="67"/>
      <c r="D91" s="67"/>
      <c r="E91" s="67"/>
      <c r="F91" s="67"/>
      <c r="G91" s="67"/>
      <c r="H91" s="68"/>
    </row>
    <row r="92" ht="15.75" customHeight="1"/>
    <row r="93" ht="15.75" customHeight="1"/>
    <row r="94" ht="15.75" customHeight="1">
      <c r="A94" s="100" t="s">
        <v>348</v>
      </c>
      <c r="E94" s="96" t="s">
        <v>234</v>
      </c>
      <c r="F94" s="101"/>
      <c r="G94" s="96" t="s">
        <v>327</v>
      </c>
      <c r="H94" s="101"/>
    </row>
    <row r="95" ht="15.75" customHeight="1">
      <c r="A95" s="111" t="s">
        <v>336</v>
      </c>
    </row>
    <row r="96" ht="15.75" customHeight="1">
      <c r="A96" s="104" t="s">
        <v>246</v>
      </c>
      <c r="B96" s="83"/>
      <c r="C96" s="33"/>
      <c r="D96" s="33"/>
      <c r="E96" s="33"/>
      <c r="F96" s="33"/>
      <c r="G96" s="33"/>
      <c r="H96" s="34"/>
    </row>
    <row r="97" ht="15.75" customHeight="1">
      <c r="A97" s="104" t="s">
        <v>246</v>
      </c>
      <c r="B97" s="83"/>
      <c r="C97" s="33"/>
      <c r="D97" s="33"/>
      <c r="E97" s="33"/>
      <c r="F97" s="33"/>
      <c r="G97" s="33"/>
      <c r="H97" s="34"/>
    </row>
    <row r="98" ht="15.75" customHeight="1">
      <c r="A98" s="104" t="s">
        <v>246</v>
      </c>
      <c r="B98" s="83"/>
      <c r="C98" s="33"/>
      <c r="D98" s="33"/>
      <c r="E98" s="33"/>
      <c r="F98" s="33"/>
      <c r="G98" s="33"/>
      <c r="H98" s="34"/>
    </row>
    <row r="99" ht="15.75" customHeight="1">
      <c r="A99" s="104" t="s">
        <v>328</v>
      </c>
      <c r="B99" s="83"/>
      <c r="C99" s="33"/>
      <c r="D99" s="33"/>
      <c r="E99" s="33"/>
      <c r="F99" s="33"/>
      <c r="G99" s="33"/>
      <c r="H99" s="34"/>
    </row>
    <row r="100" ht="15.75" customHeight="1">
      <c r="A100" s="102" t="s">
        <v>330</v>
      </c>
      <c r="B100" s="33"/>
      <c r="C100" s="33"/>
      <c r="D100" s="33"/>
      <c r="E100" s="33"/>
      <c r="F100" s="33"/>
      <c r="G100" s="33"/>
      <c r="H100" s="34"/>
    </row>
    <row r="101" ht="15.75" customHeight="1">
      <c r="A101" s="116"/>
      <c r="B101" s="64"/>
      <c r="C101" s="64"/>
      <c r="D101" s="64"/>
      <c r="E101" s="64"/>
      <c r="F101" s="64"/>
      <c r="G101" s="64"/>
      <c r="H101" s="65"/>
    </row>
    <row r="102" ht="15.75" customHeight="1">
      <c r="A102" s="112"/>
      <c r="H102" s="113"/>
    </row>
    <row r="103" ht="15.75" customHeight="1">
      <c r="A103" s="66"/>
      <c r="B103" s="67"/>
      <c r="C103" s="67"/>
      <c r="D103" s="67"/>
      <c r="E103" s="67"/>
      <c r="F103" s="67"/>
      <c r="G103" s="67"/>
      <c r="H103" s="68"/>
    </row>
    <row r="104" ht="15.75" customHeight="1">
      <c r="A104" s="102" t="s">
        <v>332</v>
      </c>
      <c r="B104" s="33"/>
      <c r="C104" s="33"/>
      <c r="D104" s="33"/>
      <c r="E104" s="33"/>
      <c r="F104" s="33"/>
      <c r="G104" s="33"/>
      <c r="H104" s="34"/>
    </row>
    <row r="105" ht="15.75" customHeight="1">
      <c r="A105" s="116"/>
      <c r="B105" s="64"/>
      <c r="C105" s="64"/>
      <c r="D105" s="64"/>
      <c r="E105" s="64"/>
      <c r="F105" s="64"/>
      <c r="G105" s="64"/>
      <c r="H105" s="65"/>
    </row>
    <row r="106" ht="15.75" customHeight="1">
      <c r="A106" s="112"/>
      <c r="H106" s="113"/>
    </row>
    <row r="107" ht="15.75" customHeight="1">
      <c r="A107" s="112"/>
      <c r="H107" s="113"/>
    </row>
    <row r="108" ht="15.75" customHeight="1">
      <c r="A108" s="66"/>
      <c r="B108" s="67"/>
      <c r="C108" s="67"/>
      <c r="D108" s="67"/>
      <c r="E108" s="67"/>
      <c r="F108" s="67"/>
      <c r="G108" s="67"/>
      <c r="H108" s="68"/>
    </row>
    <row r="109" ht="15.75" customHeight="1"/>
    <row r="110" ht="15.75" customHeight="1"/>
    <row r="111" ht="15.75" customHeight="1">
      <c r="A111" s="100" t="s">
        <v>349</v>
      </c>
      <c r="E111" s="96" t="s">
        <v>234</v>
      </c>
      <c r="F111" s="101"/>
      <c r="G111" s="96" t="s">
        <v>327</v>
      </c>
      <c r="H111" s="101"/>
    </row>
    <row r="112" ht="15.75" customHeight="1">
      <c r="A112" s="111" t="s">
        <v>336</v>
      </c>
    </row>
    <row r="113" ht="15.75" customHeight="1">
      <c r="A113" s="104" t="s">
        <v>246</v>
      </c>
      <c r="B113" s="83"/>
      <c r="C113" s="33"/>
      <c r="D113" s="33"/>
      <c r="E113" s="33"/>
      <c r="F113" s="33"/>
      <c r="G113" s="33"/>
      <c r="H113" s="34"/>
    </row>
    <row r="114" ht="15.75" customHeight="1">
      <c r="A114" s="104" t="s">
        <v>246</v>
      </c>
      <c r="B114" s="83"/>
      <c r="C114" s="33"/>
      <c r="D114" s="33"/>
      <c r="E114" s="33"/>
      <c r="F114" s="33"/>
      <c r="G114" s="33"/>
      <c r="H114" s="34"/>
    </row>
    <row r="115" ht="15.75" customHeight="1">
      <c r="A115" s="104" t="s">
        <v>246</v>
      </c>
      <c r="B115" s="83"/>
      <c r="C115" s="33"/>
      <c r="D115" s="33"/>
      <c r="E115" s="33"/>
      <c r="F115" s="33"/>
      <c r="G115" s="33"/>
      <c r="H115" s="34"/>
    </row>
    <row r="116" ht="15.75" customHeight="1">
      <c r="A116" s="104" t="s">
        <v>328</v>
      </c>
      <c r="B116" s="83"/>
      <c r="C116" s="33"/>
      <c r="D116" s="33"/>
      <c r="E116" s="33"/>
      <c r="F116" s="33"/>
      <c r="G116" s="33"/>
      <c r="H116" s="34"/>
    </row>
    <row r="117" ht="15.75" customHeight="1">
      <c r="A117" s="102" t="s">
        <v>330</v>
      </c>
      <c r="B117" s="33"/>
      <c r="C117" s="33"/>
      <c r="D117" s="33"/>
      <c r="E117" s="33"/>
      <c r="F117" s="33"/>
      <c r="G117" s="33"/>
      <c r="H117" s="34"/>
    </row>
    <row r="118" ht="15.75" customHeight="1">
      <c r="A118" s="116"/>
      <c r="B118" s="64"/>
      <c r="C118" s="64"/>
      <c r="D118" s="64"/>
      <c r="E118" s="64"/>
      <c r="F118" s="64"/>
      <c r="G118" s="64"/>
      <c r="H118" s="65"/>
    </row>
    <row r="119" ht="15.75" customHeight="1">
      <c r="A119" s="112"/>
      <c r="H119" s="113"/>
    </row>
    <row r="120" ht="15.75" customHeight="1">
      <c r="A120" s="66"/>
      <c r="B120" s="67"/>
      <c r="C120" s="67"/>
      <c r="D120" s="67"/>
      <c r="E120" s="67"/>
      <c r="F120" s="67"/>
      <c r="G120" s="67"/>
      <c r="H120" s="68"/>
    </row>
    <row r="121" ht="15.75" customHeight="1">
      <c r="A121" s="102" t="s">
        <v>332</v>
      </c>
      <c r="B121" s="33"/>
      <c r="C121" s="33"/>
      <c r="D121" s="33"/>
      <c r="E121" s="33"/>
      <c r="F121" s="33"/>
      <c r="G121" s="33"/>
      <c r="H121" s="34"/>
    </row>
    <row r="122" ht="15.75" customHeight="1">
      <c r="A122" s="116"/>
      <c r="B122" s="64"/>
      <c r="C122" s="64"/>
      <c r="D122" s="64"/>
      <c r="E122" s="64"/>
      <c r="F122" s="64"/>
      <c r="G122" s="64"/>
      <c r="H122" s="65"/>
    </row>
    <row r="123" ht="15.75" customHeight="1">
      <c r="A123" s="112"/>
      <c r="H123" s="113"/>
    </row>
    <row r="124" ht="15.75" customHeight="1">
      <c r="A124" s="112"/>
      <c r="H124" s="113"/>
    </row>
    <row r="125" ht="15.75" customHeight="1">
      <c r="A125" s="66"/>
      <c r="B125" s="67"/>
      <c r="C125" s="67"/>
      <c r="D125" s="67"/>
      <c r="E125" s="67"/>
      <c r="F125" s="67"/>
      <c r="G125" s="67"/>
      <c r="H125" s="6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28:B30 B45:B47 B62:B64 B79:B81 B96:B98 B113:B115">
      <formula1>Metadata!$I$17:$I$40</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2" t="s">
        <v>16</v>
      </c>
    </row>
    <row r="3" ht="15.75" customHeight="1"/>
    <row r="4" ht="15.75" customHeight="1">
      <c r="B4" s="82" t="s">
        <v>1</v>
      </c>
      <c r="C4" s="83" t="str">
        <f>'Diseño'!C4</f>
        <v>722 - Teoría de Sistemas 1</v>
      </c>
      <c r="D4" s="33"/>
      <c r="E4" s="33"/>
      <c r="F4" s="33"/>
      <c r="G4" s="34"/>
    </row>
    <row r="5" ht="15.75" customHeight="1">
      <c r="B5" s="98" t="s">
        <v>193</v>
      </c>
      <c r="C5" s="83">
        <f>H9+H26+H43+H60+H77+H94+H111+H128</f>
        <v>14</v>
      </c>
      <c r="D5" s="33"/>
      <c r="E5" s="33"/>
      <c r="F5" s="33"/>
      <c r="G5" s="34"/>
    </row>
    <row r="6" ht="15.75" customHeight="1">
      <c r="B6" s="98" t="s">
        <v>234</v>
      </c>
      <c r="C6" s="83">
        <f>F9+F26+F43+F60+F77+F94+F111+F128</f>
        <v>10</v>
      </c>
      <c r="D6" s="33"/>
      <c r="E6" s="33"/>
      <c r="F6" s="33"/>
      <c r="G6" s="34"/>
    </row>
    <row r="7" ht="15.75" customHeight="1">
      <c r="B7" s="71" t="s">
        <v>350</v>
      </c>
    </row>
    <row r="8" ht="15.75" customHeight="1"/>
    <row r="9" ht="15.75" customHeight="1">
      <c r="A9" s="100" t="s">
        <v>351</v>
      </c>
      <c r="E9" s="96" t="s">
        <v>234</v>
      </c>
      <c r="F9" s="123">
        <v>1.0</v>
      </c>
      <c r="G9" s="96" t="s">
        <v>327</v>
      </c>
      <c r="H9" s="123">
        <v>1.0</v>
      </c>
    </row>
    <row r="10" ht="15.75" customHeight="1">
      <c r="A10" s="71" t="s">
        <v>352</v>
      </c>
    </row>
    <row r="11" ht="15.75" customHeight="1">
      <c r="A11" s="104" t="s">
        <v>246</v>
      </c>
      <c r="B11" s="40" t="s">
        <v>78</v>
      </c>
      <c r="C11" s="33"/>
      <c r="D11" s="33"/>
      <c r="E11" s="33"/>
      <c r="F11" s="33"/>
      <c r="G11" s="33"/>
      <c r="H11" s="34"/>
    </row>
    <row r="12" ht="15.75" customHeight="1">
      <c r="A12" s="104" t="s">
        <v>246</v>
      </c>
      <c r="B12" s="40" t="s">
        <v>98</v>
      </c>
      <c r="C12" s="33"/>
      <c r="D12" s="33"/>
      <c r="E12" s="33"/>
      <c r="F12" s="33"/>
      <c r="G12" s="33"/>
      <c r="H12" s="34"/>
    </row>
    <row r="13" ht="15.75" customHeight="1">
      <c r="A13" s="104" t="s">
        <v>246</v>
      </c>
      <c r="B13" s="83"/>
      <c r="C13" s="33"/>
      <c r="D13" s="33"/>
      <c r="E13" s="33"/>
      <c r="F13" s="33"/>
      <c r="G13" s="33"/>
      <c r="H13" s="34"/>
    </row>
    <row r="14" ht="15.75" customHeight="1">
      <c r="A14" s="104" t="s">
        <v>328</v>
      </c>
      <c r="B14" s="119" t="s">
        <v>353</v>
      </c>
      <c r="C14" s="120"/>
      <c r="D14" s="120"/>
      <c r="E14" s="120"/>
      <c r="F14" s="120"/>
      <c r="G14" s="120"/>
      <c r="H14" s="121"/>
    </row>
    <row r="15" ht="15.75" customHeight="1">
      <c r="A15" s="102" t="s">
        <v>330</v>
      </c>
      <c r="B15" s="33"/>
      <c r="C15" s="33"/>
      <c r="D15" s="33"/>
      <c r="E15" s="33"/>
      <c r="F15" s="33"/>
      <c r="G15" s="33"/>
      <c r="H15" s="34"/>
    </row>
    <row r="16" ht="15.75" customHeight="1">
      <c r="A16" s="117" t="s">
        <v>354</v>
      </c>
      <c r="B16" s="64"/>
      <c r="C16" s="64"/>
      <c r="D16" s="64"/>
      <c r="E16" s="64"/>
      <c r="F16" s="64"/>
      <c r="G16" s="64"/>
      <c r="H16" s="65"/>
    </row>
    <row r="17" ht="15.75" customHeight="1">
      <c r="A17" s="112"/>
      <c r="H17" s="113"/>
    </row>
    <row r="18" ht="15.75" customHeight="1">
      <c r="A18" s="66"/>
      <c r="B18" s="67"/>
      <c r="C18" s="67"/>
      <c r="D18" s="67"/>
      <c r="E18" s="67"/>
      <c r="F18" s="67"/>
      <c r="G18" s="67"/>
      <c r="H18" s="68"/>
    </row>
    <row r="19" ht="15.75" customHeight="1">
      <c r="A19" s="102" t="s">
        <v>355</v>
      </c>
      <c r="B19" s="33"/>
      <c r="C19" s="33"/>
      <c r="D19" s="33"/>
      <c r="E19" s="33"/>
      <c r="F19" s="33"/>
      <c r="G19" s="33"/>
      <c r="H19" s="34"/>
    </row>
    <row r="20" ht="15.75" customHeight="1">
      <c r="A20" s="124" t="s">
        <v>356</v>
      </c>
      <c r="B20" s="64"/>
      <c r="C20" s="64"/>
      <c r="D20" s="64"/>
      <c r="E20" s="64"/>
      <c r="F20" s="64"/>
      <c r="G20" s="64"/>
      <c r="H20" s="65"/>
    </row>
    <row r="21" ht="15.75" customHeight="1">
      <c r="A21" s="112"/>
      <c r="H21" s="113"/>
    </row>
    <row r="22" ht="15.75" customHeight="1">
      <c r="A22" s="112"/>
      <c r="H22" s="113"/>
    </row>
    <row r="23" ht="15.75" customHeight="1">
      <c r="A23" s="66"/>
      <c r="B23" s="67"/>
      <c r="C23" s="67"/>
      <c r="D23" s="67"/>
      <c r="E23" s="67"/>
      <c r="F23" s="67"/>
      <c r="G23" s="67"/>
      <c r="H23" s="68"/>
    </row>
    <row r="24" ht="15.75" customHeight="1">
      <c r="A24" s="100"/>
      <c r="B24" s="100"/>
      <c r="C24" s="100"/>
      <c r="D24" s="100"/>
      <c r="E24" s="96"/>
      <c r="F24" s="125"/>
      <c r="G24" s="96"/>
      <c r="H24" s="125"/>
    </row>
    <row r="25" ht="15.75" customHeight="1">
      <c r="A25" s="100"/>
      <c r="B25" s="100"/>
      <c r="C25" s="100"/>
      <c r="D25" s="100"/>
      <c r="E25" s="96"/>
      <c r="F25" s="125"/>
      <c r="G25" s="96"/>
      <c r="H25" s="125"/>
    </row>
    <row r="26" ht="15.75" customHeight="1">
      <c r="A26" s="100" t="s">
        <v>357</v>
      </c>
      <c r="E26" s="96" t="s">
        <v>234</v>
      </c>
      <c r="F26" s="123">
        <v>1.0</v>
      </c>
      <c r="G26" s="96" t="s">
        <v>327</v>
      </c>
      <c r="H26" s="123">
        <v>1.0</v>
      </c>
    </row>
    <row r="27" ht="15.75" customHeight="1">
      <c r="A27" s="71" t="s">
        <v>340</v>
      </c>
    </row>
    <row r="28" ht="15.75" customHeight="1">
      <c r="A28" s="104" t="s">
        <v>246</v>
      </c>
      <c r="B28" s="40" t="s">
        <v>78</v>
      </c>
      <c r="C28" s="33"/>
      <c r="D28" s="33"/>
      <c r="E28" s="33"/>
      <c r="F28" s="33"/>
      <c r="G28" s="33"/>
      <c r="H28" s="34"/>
    </row>
    <row r="29" ht="15.75" customHeight="1">
      <c r="A29" s="104" t="s">
        <v>246</v>
      </c>
      <c r="B29" s="40" t="s">
        <v>98</v>
      </c>
      <c r="C29" s="33"/>
      <c r="D29" s="33"/>
      <c r="E29" s="33"/>
      <c r="F29" s="33"/>
      <c r="G29" s="33"/>
      <c r="H29" s="34"/>
    </row>
    <row r="30" ht="15.75" customHeight="1">
      <c r="A30" s="104" t="s">
        <v>246</v>
      </c>
      <c r="B30" s="83"/>
      <c r="C30" s="33"/>
      <c r="D30" s="33"/>
      <c r="E30" s="33"/>
      <c r="F30" s="33"/>
      <c r="G30" s="33"/>
      <c r="H30" s="34"/>
    </row>
    <row r="31" ht="15.75" customHeight="1">
      <c r="A31" s="104" t="s">
        <v>328</v>
      </c>
      <c r="B31" s="83"/>
      <c r="C31" s="33"/>
      <c r="D31" s="33"/>
      <c r="E31" s="33"/>
      <c r="F31" s="33"/>
      <c r="G31" s="33"/>
      <c r="H31" s="34"/>
    </row>
    <row r="32" ht="15.75" customHeight="1">
      <c r="A32" s="102" t="s">
        <v>330</v>
      </c>
      <c r="B32" s="33"/>
      <c r="C32" s="33"/>
      <c r="D32" s="33"/>
      <c r="E32" s="33"/>
      <c r="F32" s="33"/>
      <c r="G32" s="33"/>
      <c r="H32" s="34"/>
    </row>
    <row r="33" ht="15.75" customHeight="1">
      <c r="A33" s="117" t="s">
        <v>358</v>
      </c>
      <c r="B33" s="64"/>
      <c r="C33" s="64"/>
      <c r="D33" s="64"/>
      <c r="E33" s="64"/>
      <c r="F33" s="64"/>
      <c r="G33" s="64"/>
      <c r="H33" s="65"/>
    </row>
    <row r="34" ht="15.75" customHeight="1">
      <c r="A34" s="112"/>
      <c r="H34" s="113"/>
    </row>
    <row r="35" ht="15.75" customHeight="1">
      <c r="A35" s="66"/>
      <c r="B35" s="67"/>
      <c r="C35" s="67"/>
      <c r="D35" s="67"/>
      <c r="E35" s="67"/>
      <c r="F35" s="67"/>
      <c r="G35" s="67"/>
      <c r="H35" s="68"/>
    </row>
    <row r="36" ht="15.75" customHeight="1">
      <c r="A36" s="102" t="s">
        <v>332</v>
      </c>
      <c r="B36" s="33"/>
      <c r="C36" s="33"/>
      <c r="D36" s="33"/>
      <c r="E36" s="33"/>
      <c r="F36" s="33"/>
      <c r="G36" s="33"/>
      <c r="H36" s="34"/>
    </row>
    <row r="37" ht="15.75" customHeight="1">
      <c r="A37" s="63" t="s">
        <v>359</v>
      </c>
      <c r="B37" s="64"/>
      <c r="C37" s="64"/>
      <c r="D37" s="64"/>
      <c r="E37" s="64"/>
      <c r="F37" s="64"/>
      <c r="G37" s="64"/>
      <c r="H37" s="65"/>
    </row>
    <row r="38" ht="15.75" customHeight="1">
      <c r="A38" s="112"/>
      <c r="H38" s="113"/>
    </row>
    <row r="39" ht="15.75" customHeight="1">
      <c r="A39" s="112"/>
      <c r="H39" s="113"/>
    </row>
    <row r="40" ht="15.75" customHeight="1">
      <c r="A40" s="66"/>
      <c r="B40" s="67"/>
      <c r="C40" s="67"/>
      <c r="D40" s="67"/>
      <c r="E40" s="67"/>
      <c r="F40" s="67"/>
      <c r="G40" s="67"/>
      <c r="H40" s="68"/>
    </row>
    <row r="41" ht="15.75" customHeight="1"/>
    <row r="42" ht="15.75" customHeight="1"/>
    <row r="43" ht="15.75" customHeight="1">
      <c r="A43" s="100" t="s">
        <v>360</v>
      </c>
      <c r="E43" s="96" t="s">
        <v>234</v>
      </c>
      <c r="F43" s="123">
        <v>1.0</v>
      </c>
      <c r="G43" s="96" t="s">
        <v>327</v>
      </c>
      <c r="H43" s="123">
        <v>2.0</v>
      </c>
    </row>
    <row r="44" ht="15.75" customHeight="1">
      <c r="A44" s="71" t="s">
        <v>340</v>
      </c>
    </row>
    <row r="45" ht="15.75" customHeight="1">
      <c r="A45" s="104" t="s">
        <v>246</v>
      </c>
      <c r="B45" s="40" t="s">
        <v>98</v>
      </c>
      <c r="C45" s="33"/>
      <c r="D45" s="33"/>
      <c r="E45" s="33"/>
      <c r="F45" s="33"/>
      <c r="G45" s="33"/>
      <c r="H45" s="34"/>
    </row>
    <row r="46" ht="15.75" customHeight="1">
      <c r="A46" s="104" t="s">
        <v>246</v>
      </c>
      <c r="B46" s="40" t="s">
        <v>78</v>
      </c>
      <c r="C46" s="33"/>
      <c r="D46" s="33"/>
      <c r="E46" s="33"/>
      <c r="F46" s="33"/>
      <c r="G46" s="33"/>
      <c r="H46" s="34"/>
    </row>
    <row r="47" ht="15.75" customHeight="1">
      <c r="A47" s="104" t="s">
        <v>246</v>
      </c>
      <c r="B47" s="36" t="s">
        <v>125</v>
      </c>
      <c r="C47" s="33"/>
      <c r="D47" s="33"/>
      <c r="E47" s="33"/>
      <c r="F47" s="33"/>
      <c r="G47" s="33"/>
      <c r="H47" s="34"/>
    </row>
    <row r="48" ht="15.75" customHeight="1">
      <c r="A48" s="104" t="s">
        <v>328</v>
      </c>
      <c r="B48" s="83"/>
      <c r="C48" s="33"/>
      <c r="D48" s="33"/>
      <c r="E48" s="33"/>
      <c r="F48" s="33"/>
      <c r="G48" s="33"/>
      <c r="H48" s="34"/>
    </row>
    <row r="49" ht="15.75" customHeight="1">
      <c r="A49" s="102" t="s">
        <v>330</v>
      </c>
      <c r="B49" s="33"/>
      <c r="C49" s="33"/>
      <c r="D49" s="33"/>
      <c r="E49" s="33"/>
      <c r="F49" s="33"/>
      <c r="G49" s="33"/>
      <c r="H49" s="34"/>
    </row>
    <row r="50" ht="15.75" customHeight="1">
      <c r="A50" s="117" t="s">
        <v>361</v>
      </c>
      <c r="B50" s="64"/>
      <c r="C50" s="64"/>
      <c r="D50" s="64"/>
      <c r="E50" s="64"/>
      <c r="F50" s="64"/>
      <c r="G50" s="64"/>
      <c r="H50" s="65"/>
    </row>
    <row r="51" ht="15.75" customHeight="1">
      <c r="A51" s="112"/>
      <c r="H51" s="113"/>
    </row>
    <row r="52" ht="15.75" customHeight="1">
      <c r="A52" s="66"/>
      <c r="B52" s="67"/>
      <c r="C52" s="67"/>
      <c r="D52" s="67"/>
      <c r="E52" s="67"/>
      <c r="F52" s="67"/>
      <c r="G52" s="67"/>
      <c r="H52" s="68"/>
    </row>
    <row r="53" ht="15.75" customHeight="1">
      <c r="A53" s="102" t="s">
        <v>332</v>
      </c>
      <c r="B53" s="33"/>
      <c r="C53" s="33"/>
      <c r="D53" s="33"/>
      <c r="E53" s="33"/>
      <c r="F53" s="33"/>
      <c r="G53" s="33"/>
      <c r="H53" s="34"/>
    </row>
    <row r="54" ht="15.75" customHeight="1">
      <c r="A54" s="117" t="s">
        <v>362</v>
      </c>
      <c r="B54" s="64"/>
      <c r="C54" s="64"/>
      <c r="D54" s="64"/>
      <c r="E54" s="64"/>
      <c r="F54" s="64"/>
      <c r="G54" s="64"/>
      <c r="H54" s="65"/>
    </row>
    <row r="55" ht="15.75" customHeight="1">
      <c r="A55" s="112"/>
      <c r="H55" s="113"/>
    </row>
    <row r="56" ht="15.75" customHeight="1">
      <c r="A56" s="112"/>
      <c r="H56" s="113"/>
    </row>
    <row r="57" ht="15.75" customHeight="1">
      <c r="A57" s="66"/>
      <c r="B57" s="67"/>
      <c r="C57" s="67"/>
      <c r="D57" s="67"/>
      <c r="E57" s="67"/>
      <c r="F57" s="67"/>
      <c r="G57" s="67"/>
      <c r="H57" s="68"/>
    </row>
    <row r="58" ht="15.75" customHeight="1"/>
    <row r="59" ht="15.75" customHeight="1"/>
    <row r="60" ht="15.75" customHeight="1">
      <c r="A60" s="100" t="s">
        <v>363</v>
      </c>
      <c r="E60" s="96" t="s">
        <v>234</v>
      </c>
      <c r="F60" s="123">
        <v>1.0</v>
      </c>
      <c r="G60" s="96" t="s">
        <v>327</v>
      </c>
      <c r="H60" s="123">
        <v>2.0</v>
      </c>
    </row>
    <row r="61" ht="15.75" customHeight="1">
      <c r="A61" s="111" t="s">
        <v>336</v>
      </c>
    </row>
    <row r="62" ht="15.75" customHeight="1">
      <c r="A62" s="104" t="s">
        <v>246</v>
      </c>
      <c r="B62" s="93" t="s">
        <v>125</v>
      </c>
      <c r="C62" s="33"/>
      <c r="D62" s="33"/>
      <c r="E62" s="33"/>
      <c r="F62" s="33"/>
      <c r="G62" s="33"/>
      <c r="H62" s="34"/>
    </row>
    <row r="63" ht="15.75" customHeight="1">
      <c r="A63" s="104" t="s">
        <v>246</v>
      </c>
      <c r="B63" s="93" t="s">
        <v>98</v>
      </c>
      <c r="C63" s="33"/>
      <c r="D63" s="33"/>
      <c r="E63" s="33"/>
      <c r="F63" s="33"/>
      <c r="G63" s="33"/>
      <c r="H63" s="34"/>
    </row>
    <row r="64" ht="15.75" customHeight="1">
      <c r="A64" s="104" t="s">
        <v>246</v>
      </c>
      <c r="B64" s="93" t="s">
        <v>78</v>
      </c>
      <c r="C64" s="33"/>
      <c r="D64" s="33"/>
      <c r="E64" s="33"/>
      <c r="F64" s="33"/>
      <c r="G64" s="33"/>
      <c r="H64" s="34"/>
    </row>
    <row r="65" ht="15.75" customHeight="1">
      <c r="A65" s="104" t="s">
        <v>328</v>
      </c>
      <c r="B65" s="93" t="s">
        <v>364</v>
      </c>
      <c r="C65" s="33"/>
      <c r="D65" s="33"/>
      <c r="E65" s="33"/>
      <c r="F65" s="33"/>
      <c r="G65" s="33"/>
      <c r="H65" s="34"/>
    </row>
    <row r="66" ht="15.75" customHeight="1">
      <c r="A66" s="102" t="s">
        <v>330</v>
      </c>
      <c r="B66" s="33"/>
      <c r="C66" s="33"/>
      <c r="D66" s="33"/>
      <c r="E66" s="33"/>
      <c r="F66" s="33"/>
      <c r="G66" s="33"/>
      <c r="H66" s="34"/>
    </row>
    <row r="67" ht="15.75" customHeight="1">
      <c r="A67" s="117" t="s">
        <v>365</v>
      </c>
      <c r="B67" s="64"/>
      <c r="C67" s="64"/>
      <c r="D67" s="64"/>
      <c r="E67" s="64"/>
      <c r="F67" s="64"/>
      <c r="G67" s="64"/>
      <c r="H67" s="65"/>
    </row>
    <row r="68" ht="15.75" customHeight="1">
      <c r="A68" s="112"/>
      <c r="H68" s="113"/>
    </row>
    <row r="69" ht="15.75" customHeight="1">
      <c r="A69" s="66"/>
      <c r="B69" s="67"/>
      <c r="C69" s="67"/>
      <c r="D69" s="67"/>
      <c r="E69" s="67"/>
      <c r="F69" s="67"/>
      <c r="G69" s="67"/>
      <c r="H69" s="68"/>
    </row>
    <row r="70" ht="15.75" customHeight="1">
      <c r="A70" s="102" t="s">
        <v>332</v>
      </c>
      <c r="B70" s="33"/>
      <c r="C70" s="33"/>
      <c r="D70" s="33"/>
      <c r="E70" s="33"/>
      <c r="F70" s="33"/>
      <c r="G70" s="33"/>
      <c r="H70" s="34"/>
    </row>
    <row r="71" ht="15.75" customHeight="1">
      <c r="A71" s="63" t="s">
        <v>366</v>
      </c>
      <c r="B71" s="64"/>
      <c r="C71" s="64"/>
      <c r="D71" s="64"/>
      <c r="E71" s="64"/>
      <c r="F71" s="64"/>
      <c r="G71" s="64"/>
      <c r="H71" s="65"/>
    </row>
    <row r="72" ht="15.75" customHeight="1">
      <c r="A72" s="112"/>
      <c r="H72" s="113"/>
    </row>
    <row r="73" ht="15.75" customHeight="1">
      <c r="A73" s="112"/>
      <c r="H73" s="113"/>
    </row>
    <row r="74" ht="15.75" customHeight="1">
      <c r="A74" s="66"/>
      <c r="B74" s="67"/>
      <c r="C74" s="67"/>
      <c r="D74" s="67"/>
      <c r="E74" s="67"/>
      <c r="F74" s="67"/>
      <c r="G74" s="67"/>
      <c r="H74" s="68"/>
    </row>
    <row r="75" ht="15.75" customHeight="1"/>
    <row r="76" ht="15.75" customHeight="1"/>
    <row r="77" ht="15.75" customHeight="1">
      <c r="A77" s="100" t="s">
        <v>367</v>
      </c>
      <c r="E77" s="96" t="s">
        <v>234</v>
      </c>
      <c r="F77" s="123">
        <v>1.0</v>
      </c>
      <c r="G77" s="96" t="s">
        <v>327</v>
      </c>
      <c r="H77" s="123">
        <v>2.0</v>
      </c>
    </row>
    <row r="78" ht="15.75" customHeight="1">
      <c r="A78" s="111" t="s">
        <v>336</v>
      </c>
    </row>
    <row r="79" ht="15.75" customHeight="1">
      <c r="A79" s="104" t="s">
        <v>246</v>
      </c>
      <c r="B79" s="93" t="s">
        <v>78</v>
      </c>
      <c r="C79" s="33"/>
      <c r="D79" s="33"/>
      <c r="E79" s="33"/>
      <c r="F79" s="33"/>
      <c r="G79" s="33"/>
      <c r="H79" s="34"/>
    </row>
    <row r="80" ht="15.75" customHeight="1">
      <c r="A80" s="104" t="s">
        <v>246</v>
      </c>
      <c r="B80" s="93" t="s">
        <v>125</v>
      </c>
      <c r="C80" s="33"/>
      <c r="D80" s="33"/>
      <c r="E80" s="33"/>
      <c r="F80" s="33"/>
      <c r="G80" s="33"/>
      <c r="H80" s="34"/>
    </row>
    <row r="81" ht="15.75" customHeight="1">
      <c r="A81" s="104" t="s">
        <v>246</v>
      </c>
      <c r="B81" s="83"/>
      <c r="C81" s="33"/>
      <c r="D81" s="33"/>
      <c r="E81" s="33"/>
      <c r="F81" s="33"/>
      <c r="G81" s="33"/>
      <c r="H81" s="34"/>
    </row>
    <row r="82" ht="15.75" customHeight="1">
      <c r="A82" s="104" t="s">
        <v>328</v>
      </c>
      <c r="B82" s="40" t="s">
        <v>368</v>
      </c>
      <c r="C82" s="33"/>
      <c r="D82" s="33"/>
      <c r="E82" s="33"/>
      <c r="F82" s="33"/>
      <c r="G82" s="33"/>
      <c r="H82" s="34"/>
    </row>
    <row r="83" ht="15.75" customHeight="1">
      <c r="A83" s="102" t="s">
        <v>330</v>
      </c>
      <c r="B83" s="33"/>
      <c r="C83" s="33"/>
      <c r="D83" s="33"/>
      <c r="E83" s="33"/>
      <c r="F83" s="33"/>
      <c r="G83" s="33"/>
      <c r="H83" s="34"/>
    </row>
    <row r="84" ht="15.75" customHeight="1">
      <c r="A84" s="63" t="s">
        <v>369</v>
      </c>
      <c r="B84" s="64"/>
      <c r="C84" s="64"/>
      <c r="D84" s="64"/>
      <c r="E84" s="64"/>
      <c r="F84" s="64"/>
      <c r="G84" s="64"/>
      <c r="H84" s="65"/>
    </row>
    <row r="85" ht="15.75" customHeight="1">
      <c r="A85" s="112"/>
      <c r="H85" s="113"/>
    </row>
    <row r="86" ht="15.75" customHeight="1">
      <c r="A86" s="66"/>
      <c r="B86" s="67"/>
      <c r="C86" s="67"/>
      <c r="D86" s="67"/>
      <c r="E86" s="67"/>
      <c r="F86" s="67"/>
      <c r="G86" s="67"/>
      <c r="H86" s="68"/>
    </row>
    <row r="87" ht="15.75" customHeight="1">
      <c r="A87" s="102" t="s">
        <v>332</v>
      </c>
      <c r="B87" s="33"/>
      <c r="C87" s="33"/>
      <c r="D87" s="33"/>
      <c r="E87" s="33"/>
      <c r="F87" s="33"/>
      <c r="G87" s="33"/>
      <c r="H87" s="34"/>
    </row>
    <row r="88" ht="15.75" customHeight="1">
      <c r="A88" s="63" t="s">
        <v>370</v>
      </c>
      <c r="B88" s="64"/>
      <c r="C88" s="64"/>
      <c r="D88" s="64"/>
      <c r="E88" s="64"/>
      <c r="F88" s="64"/>
      <c r="G88" s="64"/>
      <c r="H88" s="65"/>
    </row>
    <row r="89" ht="15.75" customHeight="1">
      <c r="A89" s="112"/>
      <c r="H89" s="113"/>
    </row>
    <row r="90" ht="15.75" customHeight="1">
      <c r="A90" s="112"/>
      <c r="H90" s="113"/>
    </row>
    <row r="91" ht="15.75" customHeight="1">
      <c r="A91" s="66"/>
      <c r="B91" s="67"/>
      <c r="C91" s="67"/>
      <c r="D91" s="67"/>
      <c r="E91" s="67"/>
      <c r="F91" s="67"/>
      <c r="G91" s="67"/>
      <c r="H91" s="68"/>
    </row>
    <row r="92" ht="15.75" customHeight="1"/>
    <row r="93" ht="15.75" customHeight="1"/>
    <row r="94" ht="15.75" customHeight="1">
      <c r="A94" s="100" t="s">
        <v>371</v>
      </c>
      <c r="E94" s="96" t="s">
        <v>234</v>
      </c>
      <c r="F94" s="123">
        <v>1.0</v>
      </c>
      <c r="G94" s="96" t="s">
        <v>327</v>
      </c>
      <c r="H94" s="123">
        <v>2.0</v>
      </c>
    </row>
    <row r="95" ht="15.75" customHeight="1">
      <c r="A95" s="111" t="s">
        <v>336</v>
      </c>
    </row>
    <row r="96" ht="15.75" customHeight="1">
      <c r="A96" s="104" t="s">
        <v>246</v>
      </c>
      <c r="B96" s="93" t="s">
        <v>98</v>
      </c>
      <c r="C96" s="33"/>
      <c r="D96" s="33"/>
      <c r="E96" s="33"/>
      <c r="F96" s="33"/>
      <c r="G96" s="33"/>
      <c r="H96" s="34"/>
    </row>
    <row r="97" ht="15.75" customHeight="1">
      <c r="A97" s="104" t="s">
        <v>246</v>
      </c>
      <c r="B97" s="93" t="s">
        <v>125</v>
      </c>
      <c r="C97" s="33"/>
      <c r="D97" s="33"/>
      <c r="E97" s="33"/>
      <c r="F97" s="33"/>
      <c r="G97" s="33"/>
      <c r="H97" s="34"/>
    </row>
    <row r="98" ht="15.75" customHeight="1">
      <c r="A98" s="104" t="s">
        <v>246</v>
      </c>
      <c r="B98" s="93" t="s">
        <v>170</v>
      </c>
      <c r="C98" s="33"/>
      <c r="D98" s="33"/>
      <c r="E98" s="33"/>
      <c r="F98" s="33"/>
      <c r="G98" s="33"/>
      <c r="H98" s="34"/>
    </row>
    <row r="99" ht="15.75" customHeight="1">
      <c r="A99" s="104" t="s">
        <v>328</v>
      </c>
      <c r="B99" s="93" t="s">
        <v>372</v>
      </c>
      <c r="C99" s="33"/>
      <c r="D99" s="33"/>
      <c r="E99" s="33"/>
      <c r="F99" s="33"/>
      <c r="G99" s="33"/>
      <c r="H99" s="34"/>
    </row>
    <row r="100" ht="15.75" customHeight="1">
      <c r="A100" s="102" t="s">
        <v>330</v>
      </c>
      <c r="B100" s="33"/>
      <c r="C100" s="33"/>
      <c r="D100" s="33"/>
      <c r="E100" s="33"/>
      <c r="F100" s="33"/>
      <c r="G100" s="33"/>
      <c r="H100" s="34"/>
    </row>
    <row r="101" ht="15.75" customHeight="1">
      <c r="A101" s="63" t="s">
        <v>373</v>
      </c>
      <c r="B101" s="64"/>
      <c r="C101" s="64"/>
      <c r="D101" s="64"/>
      <c r="E101" s="64"/>
      <c r="F101" s="64"/>
      <c r="G101" s="64"/>
      <c r="H101" s="65"/>
    </row>
    <row r="102" ht="15.75" customHeight="1">
      <c r="A102" s="112"/>
      <c r="H102" s="113"/>
    </row>
    <row r="103" ht="15.75" customHeight="1">
      <c r="A103" s="66"/>
      <c r="B103" s="67"/>
      <c r="C103" s="67"/>
      <c r="D103" s="67"/>
      <c r="E103" s="67"/>
      <c r="F103" s="67"/>
      <c r="G103" s="67"/>
      <c r="H103" s="68"/>
    </row>
    <row r="104" ht="15.75" customHeight="1">
      <c r="A104" s="102" t="s">
        <v>332</v>
      </c>
      <c r="B104" s="33"/>
      <c r="C104" s="33"/>
      <c r="D104" s="33"/>
      <c r="E104" s="33"/>
      <c r="F104" s="33"/>
      <c r="G104" s="33"/>
      <c r="H104" s="34"/>
    </row>
    <row r="105" ht="15.75" customHeight="1">
      <c r="A105" s="63" t="s">
        <v>374</v>
      </c>
      <c r="B105" s="64"/>
      <c r="C105" s="64"/>
      <c r="D105" s="64"/>
      <c r="E105" s="64"/>
      <c r="F105" s="64"/>
      <c r="G105" s="64"/>
      <c r="H105" s="65"/>
    </row>
    <row r="106" ht="15.75" customHeight="1">
      <c r="A106" s="112"/>
      <c r="H106" s="113"/>
    </row>
    <row r="107" ht="15.75" customHeight="1">
      <c r="A107" s="112"/>
      <c r="H107" s="113"/>
    </row>
    <row r="108" ht="15.75" customHeight="1">
      <c r="A108" s="66"/>
      <c r="B108" s="67"/>
      <c r="C108" s="67"/>
      <c r="D108" s="67"/>
      <c r="E108" s="67"/>
      <c r="F108" s="67"/>
      <c r="G108" s="67"/>
      <c r="H108" s="68"/>
    </row>
    <row r="109" ht="15.75" customHeight="1"/>
    <row r="110" ht="15.75" customHeight="1"/>
    <row r="111" ht="15.75" customHeight="1">
      <c r="A111" s="100" t="s">
        <v>375</v>
      </c>
      <c r="E111" s="96" t="s">
        <v>234</v>
      </c>
      <c r="F111" s="123">
        <v>2.0</v>
      </c>
      <c r="G111" s="96" t="s">
        <v>327</v>
      </c>
      <c r="H111" s="123">
        <v>2.0</v>
      </c>
    </row>
    <row r="112" ht="15.75" customHeight="1">
      <c r="A112" s="111" t="s">
        <v>336</v>
      </c>
    </row>
    <row r="113" ht="15.75" customHeight="1">
      <c r="A113" s="104" t="s">
        <v>246</v>
      </c>
      <c r="B113" s="93" t="s">
        <v>125</v>
      </c>
      <c r="C113" s="33"/>
      <c r="D113" s="33"/>
      <c r="E113" s="33"/>
      <c r="F113" s="33"/>
      <c r="G113" s="33"/>
      <c r="H113" s="34"/>
    </row>
    <row r="114" ht="15.75" customHeight="1">
      <c r="A114" s="104" t="s">
        <v>246</v>
      </c>
      <c r="B114" s="93" t="s">
        <v>78</v>
      </c>
      <c r="C114" s="33"/>
      <c r="D114" s="33"/>
      <c r="E114" s="33"/>
      <c r="F114" s="33"/>
      <c r="G114" s="33"/>
      <c r="H114" s="34"/>
    </row>
    <row r="115" ht="15.75" customHeight="1">
      <c r="A115" s="104" t="s">
        <v>246</v>
      </c>
      <c r="B115" s="83"/>
      <c r="C115" s="33"/>
      <c r="D115" s="33"/>
      <c r="E115" s="33"/>
      <c r="F115" s="33"/>
      <c r="G115" s="33"/>
      <c r="H115" s="34"/>
    </row>
    <row r="116" ht="15.75" customHeight="1">
      <c r="A116" s="104" t="s">
        <v>328</v>
      </c>
      <c r="B116" s="93" t="s">
        <v>376</v>
      </c>
      <c r="C116" s="33"/>
      <c r="D116" s="33"/>
      <c r="E116" s="33"/>
      <c r="F116" s="33"/>
      <c r="G116" s="33"/>
      <c r="H116" s="34"/>
    </row>
    <row r="117" ht="15.75" customHeight="1">
      <c r="A117" s="102" t="s">
        <v>330</v>
      </c>
      <c r="B117" s="33"/>
      <c r="C117" s="33"/>
      <c r="D117" s="33"/>
      <c r="E117" s="33"/>
      <c r="F117" s="33"/>
      <c r="G117" s="33"/>
      <c r="H117" s="34"/>
    </row>
    <row r="118" ht="15.75" customHeight="1">
      <c r="A118" s="117" t="s">
        <v>377</v>
      </c>
      <c r="B118" s="64"/>
      <c r="C118" s="64"/>
      <c r="D118" s="64"/>
      <c r="E118" s="64"/>
      <c r="F118" s="64"/>
      <c r="G118" s="64"/>
      <c r="H118" s="65"/>
    </row>
    <row r="119" ht="15.75" customHeight="1">
      <c r="A119" s="112"/>
      <c r="H119" s="113"/>
    </row>
    <row r="120" ht="15.75" customHeight="1">
      <c r="A120" s="66"/>
      <c r="B120" s="67"/>
      <c r="C120" s="67"/>
      <c r="D120" s="67"/>
      <c r="E120" s="67"/>
      <c r="F120" s="67"/>
      <c r="G120" s="67"/>
      <c r="H120" s="68"/>
    </row>
    <row r="121" ht="15.75" customHeight="1">
      <c r="A121" s="102" t="s">
        <v>332</v>
      </c>
      <c r="B121" s="33"/>
      <c r="C121" s="33"/>
      <c r="D121" s="33"/>
      <c r="E121" s="33"/>
      <c r="F121" s="33"/>
      <c r="G121" s="33"/>
      <c r="H121" s="34"/>
    </row>
    <row r="122" ht="15.75" customHeight="1">
      <c r="A122" s="117" t="s">
        <v>378</v>
      </c>
      <c r="B122" s="64"/>
      <c r="C122" s="64"/>
      <c r="D122" s="64"/>
      <c r="E122" s="64"/>
      <c r="F122" s="64"/>
      <c r="G122" s="64"/>
      <c r="H122" s="65"/>
    </row>
    <row r="123" ht="15.75" customHeight="1">
      <c r="A123" s="112"/>
      <c r="H123" s="113"/>
    </row>
    <row r="124" ht="15.75" customHeight="1">
      <c r="A124" s="112"/>
      <c r="H124" s="113"/>
    </row>
    <row r="125" ht="15.75" customHeight="1">
      <c r="A125" s="66"/>
      <c r="B125" s="67"/>
      <c r="C125" s="67"/>
      <c r="D125" s="67"/>
      <c r="E125" s="67"/>
      <c r="F125" s="67"/>
      <c r="G125" s="67"/>
      <c r="H125" s="68"/>
    </row>
    <row r="126" ht="15.75" customHeight="1"/>
    <row r="127" ht="15.75" customHeight="1"/>
    <row r="128" ht="15.75" customHeight="1">
      <c r="A128" s="100" t="s">
        <v>379</v>
      </c>
      <c r="E128" s="96" t="s">
        <v>234</v>
      </c>
      <c r="F128" s="123">
        <v>2.0</v>
      </c>
      <c r="G128" s="96" t="s">
        <v>327</v>
      </c>
      <c r="H128" s="123">
        <v>2.0</v>
      </c>
    </row>
    <row r="129" ht="15.75" customHeight="1">
      <c r="A129" s="111" t="s">
        <v>336</v>
      </c>
    </row>
    <row r="130" ht="15.75" customHeight="1">
      <c r="A130" s="104" t="s">
        <v>246</v>
      </c>
      <c r="B130" s="93" t="s">
        <v>125</v>
      </c>
      <c r="C130" s="33"/>
      <c r="D130" s="33"/>
      <c r="E130" s="33"/>
      <c r="F130" s="33"/>
      <c r="G130" s="33"/>
      <c r="H130" s="34"/>
    </row>
    <row r="131" ht="15.75" customHeight="1">
      <c r="A131" s="104" t="s">
        <v>246</v>
      </c>
      <c r="B131" s="93" t="s">
        <v>78</v>
      </c>
      <c r="C131" s="33"/>
      <c r="D131" s="33"/>
      <c r="E131" s="33"/>
      <c r="F131" s="33"/>
      <c r="G131" s="33"/>
      <c r="H131" s="34"/>
    </row>
    <row r="132" ht="15.75" customHeight="1">
      <c r="A132" s="104" t="s">
        <v>246</v>
      </c>
      <c r="B132" s="93" t="s">
        <v>98</v>
      </c>
      <c r="C132" s="33"/>
      <c r="D132" s="33"/>
      <c r="E132" s="33"/>
      <c r="F132" s="33"/>
      <c r="G132" s="33"/>
      <c r="H132" s="34"/>
    </row>
    <row r="133" ht="15.75" customHeight="1">
      <c r="A133" s="104" t="s">
        <v>328</v>
      </c>
      <c r="B133" s="93" t="s">
        <v>380</v>
      </c>
      <c r="C133" s="33"/>
      <c r="D133" s="33"/>
      <c r="E133" s="33"/>
      <c r="F133" s="33"/>
      <c r="G133" s="33"/>
      <c r="H133" s="34"/>
    </row>
    <row r="134" ht="15.75" customHeight="1">
      <c r="A134" s="102" t="s">
        <v>330</v>
      </c>
      <c r="B134" s="33"/>
      <c r="C134" s="33"/>
      <c r="D134" s="33"/>
      <c r="E134" s="33"/>
      <c r="F134" s="33"/>
      <c r="G134" s="33"/>
      <c r="H134" s="34"/>
    </row>
    <row r="135" ht="15.75" customHeight="1">
      <c r="A135" s="63" t="s">
        <v>380</v>
      </c>
      <c r="B135" s="64"/>
      <c r="C135" s="64"/>
      <c r="D135" s="64"/>
      <c r="E135" s="64"/>
      <c r="F135" s="64"/>
      <c r="G135" s="64"/>
      <c r="H135" s="65"/>
    </row>
    <row r="136" ht="15.75" customHeight="1">
      <c r="A136" s="112"/>
      <c r="H136" s="113"/>
    </row>
    <row r="137" ht="15.75" customHeight="1">
      <c r="A137" s="66"/>
      <c r="B137" s="67"/>
      <c r="C137" s="67"/>
      <c r="D137" s="67"/>
      <c r="E137" s="67"/>
      <c r="F137" s="67"/>
      <c r="G137" s="67"/>
      <c r="H137" s="68"/>
    </row>
    <row r="138" ht="15.75" customHeight="1">
      <c r="A138" s="102" t="s">
        <v>332</v>
      </c>
      <c r="B138" s="33"/>
      <c r="C138" s="33"/>
      <c r="D138" s="33"/>
      <c r="E138" s="33"/>
      <c r="F138" s="33"/>
      <c r="G138" s="33"/>
      <c r="H138" s="34"/>
    </row>
    <row r="139" ht="15.75" customHeight="1">
      <c r="A139" s="63" t="s">
        <v>381</v>
      </c>
      <c r="B139" s="64"/>
      <c r="C139" s="64"/>
      <c r="D139" s="64"/>
      <c r="E139" s="64"/>
      <c r="F139" s="64"/>
      <c r="G139" s="64"/>
      <c r="H139" s="65"/>
    </row>
    <row r="140" ht="15.75" customHeight="1">
      <c r="A140" s="112"/>
      <c r="H140" s="113"/>
    </row>
    <row r="141" ht="15.75" customHeight="1">
      <c r="A141" s="112"/>
      <c r="H141" s="113"/>
    </row>
    <row r="142" ht="15.75" customHeight="1">
      <c r="A142" s="66"/>
      <c r="B142" s="67"/>
      <c r="C142" s="67"/>
      <c r="D142" s="67"/>
      <c r="E142" s="67"/>
      <c r="F142" s="67"/>
      <c r="G142" s="67"/>
      <c r="H142" s="68"/>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5">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A117:H117"/>
    <mergeCell ref="B133:H133"/>
    <mergeCell ref="A134:H134"/>
    <mergeCell ref="A135:H137"/>
    <mergeCell ref="A138:H138"/>
    <mergeCell ref="A139:H142"/>
    <mergeCell ref="A118:H120"/>
    <mergeCell ref="A121:H121"/>
    <mergeCell ref="A122:H125"/>
    <mergeCell ref="A128:D128"/>
    <mergeCell ref="B130:H130"/>
    <mergeCell ref="B131:H131"/>
    <mergeCell ref="B132:H132"/>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382</v>
      </c>
      <c r="B1" s="6" t="s">
        <v>383</v>
      </c>
      <c r="C1" s="6" t="s">
        <v>20</v>
      </c>
      <c r="D1" s="6" t="s">
        <v>21</v>
      </c>
    </row>
    <row r="2">
      <c r="A2" s="6" t="s">
        <v>384</v>
      </c>
      <c r="B2" s="6" t="str">
        <f>Competencias!C13</f>
        <v>Analiza .. los principios  basicos de la teoría de sistemas y su importancia en la vida	 mediante modelos sistémicos y recursos gráficos para analizar el funcionamiento, la estructura y las interacciones de los sistemas en distintos entornos tecnológicos	 </v>
      </c>
      <c r="C2" s="30" t="s">
        <v>22</v>
      </c>
      <c r="D2" s="30" t="s">
        <v>23</v>
      </c>
    </row>
    <row r="3">
      <c r="A3" s="6" t="s">
        <v>385</v>
      </c>
      <c r="B3" s="6" t="str">
        <f>Competencias!C15</f>
        <v>Refina un problema de ingeniería o un sistema complejo mediante el uso de Diagramas de Ciclos Causales, Mapas DSRP y metodologías de modelación sistémica para identificar relaciones causales, retroalimentaciones y estructuras subyacentes que permitan mejorar su comprensión y gestión. </v>
      </c>
      <c r="C3" s="30" t="s">
        <v>386</v>
      </c>
      <c r="D3" s="30" t="s">
        <v>25</v>
      </c>
    </row>
    <row r="4">
      <c r="A4" s="6" t="s">
        <v>387</v>
      </c>
      <c r="B4" s="6" t="str">
        <f>Competencias!C17</f>
        <v>emplea los principios básicos de la teoría general de sistemas y del enfoque sistémico el desarrollo de simulaciones dinámicas y la práctica constante de hábitos de pensamiento sistémico para formular soluciones a problemas de baja y media complejidad </v>
      </c>
      <c r="C4" s="30" t="s">
        <v>24</v>
      </c>
      <c r="D4" s="30" t="s">
        <v>388</v>
      </c>
    </row>
    <row r="5">
      <c r="A5" s="6" t="s">
        <v>389</v>
      </c>
      <c r="B5" s="6" t="str">
        <f>Competencias!C19</f>
        <v>comprende los fundamentos conceptuales del pensamiento sistémico y la naturaleza de los sistemas de la realidad a través del estudio de teorías, modelos mentales y estructuras de retroalimentación para distinguir los sistemas naturales, físicos diseñados, abstractos diseñados y de actividad humana </v>
      </c>
      <c r="C5" s="30" t="s">
        <v>390</v>
      </c>
      <c r="D5" s="30" t="s">
        <v>391</v>
      </c>
    </row>
    <row r="6">
      <c r="A6" s="6" t="s">
        <v>392</v>
      </c>
      <c r="B6" s="6" t="str">
        <f>Competencias!C21</f>
        <v>identifica los conceptos fundamentales de la teoría de sistemas y del pensamiento sistémico mediante la revisión de definiciones para reconocer los elementos esenciales en el análisis y modelación de sistemas </v>
      </c>
      <c r="C6" s="30" t="s">
        <v>26</v>
      </c>
      <c r="D6" s="30" t="s">
        <v>393</v>
      </c>
    </row>
    <row r="7">
      <c r="A7" s="6" t="s">
        <v>394</v>
      </c>
      <c r="B7" s="6" t="str">
        <f>Competencias!C23</f>
        <v>Diseña un controlador (ej. PID) o una estrategia de intervención sistémica para articular las herramientas de modelado y simulación para combinar las herramientas de modelado y simulación </v>
      </c>
      <c r="C7" s="30" t="s">
        <v>395</v>
      </c>
      <c r="D7" s="30" t="s">
        <v>396</v>
      </c>
    </row>
    <row r="8">
      <c r="A8" s="6" t="s">
        <v>397</v>
      </c>
      <c r="B8" s="6" t="str">
        <f>Competencias!C25</f>
        <v>desarrolla pensamiento sistémico y la construcción de modelos mentales sistémicos con el fin de comprender, representar para comprender sistemas complejos en entornos dinámicos y multidisciplinarios </v>
      </c>
      <c r="C8" s="30" t="s">
        <v>398</v>
      </c>
      <c r="D8" s="30" t="s">
        <v>399</v>
      </c>
    </row>
    <row r="9">
      <c r="A9" s="6" t="s">
        <v>400</v>
      </c>
      <c r="C9" s="30" t="s">
        <v>401</v>
      </c>
    </row>
    <row r="10">
      <c r="A10" s="6" t="s">
        <v>402</v>
      </c>
      <c r="C10" s="30" t="s">
        <v>403</v>
      </c>
    </row>
    <row r="11">
      <c r="A11" s="6" t="s">
        <v>404</v>
      </c>
    </row>
    <row r="12">
      <c r="A12" s="6" t="s">
        <v>405</v>
      </c>
    </row>
    <row r="13">
      <c r="A13" s="6" t="s">
        <v>406</v>
      </c>
    </row>
    <row r="14">
      <c r="A14" s="6" t="s">
        <v>407</v>
      </c>
    </row>
    <row r="15">
      <c r="A15" s="6" t="s">
        <v>408</v>
      </c>
    </row>
    <row r="16">
      <c r="A16" s="6" t="s">
        <v>409</v>
      </c>
    </row>
    <row r="17">
      <c r="A17" s="6" t="s">
        <v>410</v>
      </c>
    </row>
    <row r="18">
      <c r="A18" s="6" t="s">
        <v>411</v>
      </c>
    </row>
    <row r="19">
      <c r="A19" s="6" t="s">
        <v>412</v>
      </c>
    </row>
    <row r="20">
      <c r="A20" s="6" t="s">
        <v>413</v>
      </c>
    </row>
    <row r="21">
      <c r="A21" s="6" t="s">
        <v>414</v>
      </c>
    </row>
    <row r="22">
      <c r="A22" s="6" t="s">
        <v>415</v>
      </c>
    </row>
    <row r="23">
      <c r="A23" s="6" t="s">
        <v>416</v>
      </c>
    </row>
    <row r="24">
      <c r="A24" s="6" t="s">
        <v>417</v>
      </c>
    </row>
    <row r="25">
      <c r="A25" s="6" t="s">
        <v>418</v>
      </c>
    </row>
    <row r="26">
      <c r="A26" s="6" t="s">
        <v>419</v>
      </c>
    </row>
    <row r="27">
      <c r="A27" s="6" t="s">
        <v>420</v>
      </c>
    </row>
    <row r="28">
      <c r="A28" s="6" t="s">
        <v>421</v>
      </c>
    </row>
    <row r="29">
      <c r="A29" s="6" t="s">
        <v>422</v>
      </c>
    </row>
    <row r="30">
      <c r="A30" s="6" t="s">
        <v>423</v>
      </c>
    </row>
    <row r="31">
      <c r="A31" s="6" t="s">
        <v>424</v>
      </c>
    </row>
    <row r="32">
      <c r="A32" s="6" t="s">
        <v>425</v>
      </c>
    </row>
    <row r="33">
      <c r="A33" s="6" t="s">
        <v>426</v>
      </c>
    </row>
    <row r="34">
      <c r="A34" s="6" t="s">
        <v>427</v>
      </c>
    </row>
    <row r="35">
      <c r="A35" s="6" t="s">
        <v>2</v>
      </c>
    </row>
    <row r="36">
      <c r="A36" s="6" t="s">
        <v>428</v>
      </c>
    </row>
    <row r="37">
      <c r="A37" s="6" t="s">
        <v>429</v>
      </c>
    </row>
    <row r="38">
      <c r="A38" s="6" t="s">
        <v>430</v>
      </c>
    </row>
    <row r="39">
      <c r="A39" s="6" t="s">
        <v>431</v>
      </c>
    </row>
    <row r="40">
      <c r="A40" s="6" t="s">
        <v>432</v>
      </c>
    </row>
    <row r="41">
      <c r="A41" s="6" t="s">
        <v>433</v>
      </c>
    </row>
    <row r="42">
      <c r="A42" s="6" t="s">
        <v>434</v>
      </c>
    </row>
    <row r="43">
      <c r="A43" s="6" t="s">
        <v>435</v>
      </c>
    </row>
    <row r="44">
      <c r="A44" s="6" t="s">
        <v>436</v>
      </c>
    </row>
    <row r="45">
      <c r="A45" s="6" t="s">
        <v>437</v>
      </c>
    </row>
    <row r="46">
      <c r="A46" s="6" t="s">
        <v>438</v>
      </c>
    </row>
    <row r="47">
      <c r="A47" s="6" t="s">
        <v>439</v>
      </c>
    </row>
    <row r="48">
      <c r="A48" s="6" t="s">
        <v>440</v>
      </c>
    </row>
    <row r="49">
      <c r="A49" s="6" t="s">
        <v>441</v>
      </c>
    </row>
    <row r="50">
      <c r="A50" s="6" t="s">
        <v>442</v>
      </c>
    </row>
    <row r="51">
      <c r="A51" s="6" t="s">
        <v>443</v>
      </c>
    </row>
    <row r="52">
      <c r="A52" s="6" t="s">
        <v>444</v>
      </c>
    </row>
    <row r="53">
      <c r="A53" s="6" t="s">
        <v>445</v>
      </c>
    </row>
    <row r="54">
      <c r="A54" s="6" t="s">
        <v>446</v>
      </c>
    </row>
    <row r="55">
      <c r="A55" s="6" t="s">
        <v>447</v>
      </c>
    </row>
    <row r="56">
      <c r="A56" s="6" t="s">
        <v>448</v>
      </c>
    </row>
    <row r="57">
      <c r="A57" s="6" t="s">
        <v>449</v>
      </c>
    </row>
    <row r="58">
      <c r="A58" s="6" t="s">
        <v>450</v>
      </c>
    </row>
    <row r="59">
      <c r="A59" s="6" t="s">
        <v>451</v>
      </c>
    </row>
    <row r="60">
      <c r="A60" s="6" t="s">
        <v>452</v>
      </c>
    </row>
    <row r="61">
      <c r="A61" s="6" t="s">
        <v>453</v>
      </c>
    </row>
    <row r="62">
      <c r="A62" s="6" t="s">
        <v>454</v>
      </c>
    </row>
    <row r="63">
      <c r="A63" s="6" t="s">
        <v>455</v>
      </c>
    </row>
    <row r="64">
      <c r="A64" s="6" t="s">
        <v>456</v>
      </c>
    </row>
    <row r="65">
      <c r="A65" s="6" t="s">
        <v>457</v>
      </c>
    </row>
    <row r="66">
      <c r="A66" s="6" t="s">
        <v>458</v>
      </c>
    </row>
    <row r="67">
      <c r="A67" s="6" t="s">
        <v>459</v>
      </c>
    </row>
    <row r="68">
      <c r="A68" s="6" t="s">
        <v>460</v>
      </c>
    </row>
    <row r="69">
      <c r="A69" s="6" t="s">
        <v>461</v>
      </c>
    </row>
    <row r="70">
      <c r="A70" s="6" t="s">
        <v>462</v>
      </c>
    </row>
    <row r="71">
      <c r="A71" s="6" t="s">
        <v>463</v>
      </c>
    </row>
    <row r="72">
      <c r="A72" s="6" t="s">
        <v>464</v>
      </c>
    </row>
    <row r="73">
      <c r="A73" s="6" t="s">
        <v>465</v>
      </c>
    </row>
    <row r="74">
      <c r="A74" s="6" t="s">
        <v>466</v>
      </c>
    </row>
    <row r="75">
      <c r="A75" s="6" t="s">
        <v>467</v>
      </c>
    </row>
    <row r="76">
      <c r="A76" s="6" t="s">
        <v>468</v>
      </c>
    </row>
    <row r="77">
      <c r="A77" s="6" t="s">
        <v>469</v>
      </c>
    </row>
    <row r="78">
      <c r="A78" s="6" t="s">
        <v>470</v>
      </c>
    </row>
    <row r="79">
      <c r="A79" s="6" t="s">
        <v>471</v>
      </c>
    </row>
    <row r="80">
      <c r="A80" s="6" t="s">
        <v>472</v>
      </c>
    </row>
    <row r="81">
      <c r="A81" s="6" t="s">
        <v>473</v>
      </c>
    </row>
  </sheetData>
  <drawing r:id="rId1"/>
</worksheet>
</file>