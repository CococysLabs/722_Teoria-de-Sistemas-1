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ente_JORGE_ALVAREZ" sheetId="1" r:id="rId4"/>
    <sheet state="visible" name="CoordinadorAcademico_CESAR_FERN" sheetId="2" r:id="rId5"/>
    <sheet state="visible" name="Metadata" sheetId="3" r:id="rId6"/>
  </sheets>
  <definedNames/>
  <calcPr/>
  <extLst>
    <ext uri="GoogleSheetsCustomDataVersion2">
      <go:sheetsCustomData xmlns:go="http://customooxmlschemas.google.com/" r:id="rId7" roundtripDataChecksum="96ZJgsUIrdGj1IpEFKExHwM6kMmIz1nhxi66IoMXIWU="/>
    </ext>
  </extLst>
</workbook>
</file>

<file path=xl/sharedStrings.xml><?xml version="1.0" encoding="utf-8"?>
<sst xmlns="http://schemas.openxmlformats.org/spreadsheetml/2006/main" count="170" uniqueCount="121">
  <si>
    <t>Tipo_A</t>
  </si>
  <si>
    <t>Detalle_A</t>
  </si>
  <si>
    <t>Tipo_B</t>
  </si>
  <si>
    <t>Detalle_B</t>
  </si>
  <si>
    <t>Tipo_C</t>
  </si>
  <si>
    <t>Detalle_C</t>
  </si>
  <si>
    <t>Desarrollo Backend</t>
  </si>
  <si>
    <t xml:space="preserve">Lenguaje de Programación | Python | Framework | Flask </t>
  </si>
  <si>
    <t>Gestion</t>
  </si>
  <si>
    <t>Unificación de Criterios y Expectativas por el Coordinador Academico para el Segundo Semestre 2026</t>
  </si>
  <si>
    <t>Herramienta | Microsoft Project | Tipo | Planificación</t>
  </si>
  <si>
    <t>Con base a la recopilacion de informacion esto elementos son los que se imparten en los laboratorios</t>
  </si>
  <si>
    <t xml:space="preserve">Lenguaje de Programación | Python | Librería | Pandas </t>
  </si>
  <si>
    <t>Herramienta | Project Libre | Tipo | Planificación</t>
  </si>
  <si>
    <t xml:space="preserve">Lenguaje de Programación | Java | Framework | Spring Boot </t>
  </si>
  <si>
    <t>Herramienta | Miro | Tipo | Colaboración</t>
  </si>
  <si>
    <t xml:space="preserve">Lenguaje de Programación | Node.js | Framework | — </t>
  </si>
  <si>
    <t>Nombre del Curso</t>
  </si>
  <si>
    <t>Herramienta | Draw.io | Tipo | Diagramación</t>
  </si>
  <si>
    <t xml:space="preserve">Lenguaje de Programación | Go (Golang) | Framework | — </t>
  </si>
  <si>
    <t xml:space="preserve">Teoria de Sistemas 1                                </t>
  </si>
  <si>
    <t>Metodología</t>
  </si>
  <si>
    <t>Metodología | Scrum | Herramienta | Jira</t>
  </si>
  <si>
    <t xml:space="preserve">Lenguaje de Programación | PHP | Framework | — </t>
  </si>
  <si>
    <t>Metodología | kanban | Herramienta | trello</t>
  </si>
  <si>
    <t>Coordinador</t>
  </si>
  <si>
    <t>Desarrollo Frontend / Aplicaciones</t>
  </si>
  <si>
    <t>CESAR AUGUSTO FERNANDEZ CACERES</t>
  </si>
  <si>
    <t xml:space="preserve">Lenguaje de Programación | JavaScript | Framework | React </t>
  </si>
  <si>
    <t>Simulación / Ingeniería</t>
  </si>
  <si>
    <t>Simulador | Packet Tracer | Herramienta | —</t>
  </si>
  <si>
    <t>1. Criterios Tecnicos y Metodologicos</t>
  </si>
  <si>
    <t xml:space="preserve">Lenguaje de Programación | JavaScript | Framework | Vue.js </t>
  </si>
  <si>
    <t>Simulador | SIMIO | Herramienta | —</t>
  </si>
  <si>
    <t>Criterios y Expectativas del Docente para el Segundo Semestre 2026</t>
  </si>
  <si>
    <t>En esta sección se busca recopilar información clave sobre los elementos técnicos y metodológicos que el laboratorio debe incluir.</t>
  </si>
  <si>
    <t xml:space="preserve">Lenguaje de Programación | Dart | Framework | Flutter </t>
  </si>
  <si>
    <t>Simulador | Proteus | Hardware | Arduino</t>
  </si>
  <si>
    <t>1.1 Tecnologias y Herramientas</t>
  </si>
  <si>
    <t>Ciencia de Datos / Big Data</t>
  </si>
  <si>
    <t xml:space="preserve">Lenguaje de Programación | Python | Framework | PySpark </t>
  </si>
  <si>
    <t>Simulador | MATLAB | Complemento | Simulink</t>
  </si>
  <si>
    <t xml:space="preserve">Lenguaje de Programación | Scala | Framework | Apache Spark </t>
  </si>
  <si>
    <t>Simulador | QEMU | Arquitectura | AArch64</t>
  </si>
  <si>
    <t xml:space="preserve">Plataforma | Hadoop | Framework | — </t>
  </si>
  <si>
    <t xml:space="preserve">¿Qué tecnologías, lenguajes de programación, plataformas, hardware o software considera indispensable incluir en el laboratorio? </t>
  </si>
  <si>
    <t>Simulador | VENSIM | Tipo | Modelado dinámico</t>
  </si>
  <si>
    <t>Bases de Datos</t>
  </si>
  <si>
    <t xml:space="preserve">Base de Datos | PostgreSQL | Herramienta | DBeaver </t>
  </si>
  <si>
    <t xml:space="preserve">Base de Datos | MySQL | Herramienta | DataGrip </t>
  </si>
  <si>
    <t>Docente</t>
  </si>
  <si>
    <t>JORGE LUIS ALVAREZ MEJIA</t>
  </si>
  <si>
    <t>Numero</t>
  </si>
  <si>
    <t>Base de Datos | SQL Server | Plataforma | SSMS</t>
  </si>
  <si>
    <t>Clasificación</t>
  </si>
  <si>
    <t>Base de Datos | MongoDB | Herramienta | —</t>
  </si>
  <si>
    <t>Detalle</t>
  </si>
  <si>
    <t>Base de Datos | Redis | Herramienta | —</t>
  </si>
  <si>
    <t>Base de Datos | ValkeyDB | Motor | —</t>
  </si>
  <si>
    <t>Cloud / Infraestructura</t>
  </si>
  <si>
    <t xml:space="preserve">Plataforma | AWS EC2 | Contenedor | Docker </t>
  </si>
  <si>
    <t xml:space="preserve">Plataforma | AWS S3 | Servicio Cloud | — </t>
  </si>
  <si>
    <t>Plataforma | Google Cloud | Orquestación | Kubernetes</t>
  </si>
  <si>
    <t>Infraestructura | Docker | Orquestación | Kubernetes</t>
  </si>
  <si>
    <t>Infraestructura | Git | DevOps | CI/CD</t>
  </si>
  <si>
    <t>Plataforma | AWS Lambda | Servicio Cloud</t>
  </si>
  <si>
    <t>BI / Analítica</t>
  </si>
  <si>
    <t>Plataforma | Power BI | Lenguaje | DAX</t>
  </si>
  <si>
    <t>Plataforma | SSAS | Lenguaje | MDX</t>
  </si>
  <si>
    <t>Otros</t>
  </si>
  <si>
    <t>Plataforma | BigQuery | Herramienta</t>
  </si>
  <si>
    <t>Herramienta | Grafana | Plataforma</t>
  </si>
  <si>
    <t>Mencione alguna herramienta o simulador que recomendaría incluir. ¿En qué parte del curso se aplicaría y por qué sería útil para el estudiante?</t>
  </si>
  <si>
    <t>Plataforma | SSRS | Herramienta | —</t>
  </si>
  <si>
    <t>Plataforma | Pentaho | Tipo | ETL</t>
  </si>
  <si>
    <t>Plataforma | Talend | Tipo | ETL</t>
  </si>
  <si>
    <t>Hardware</t>
  </si>
  <si>
    <t>Hardware | Raspberry Pi | Lenguaje | Python</t>
  </si>
  <si>
    <t>Hardware | Arduino | Lenguaje | C/C++</t>
  </si>
  <si>
    <t>Herramientas de Desarrollo</t>
  </si>
  <si>
    <t>Herramienta | VS Code | Tipo | IDE</t>
  </si>
  <si>
    <t>Herramienta | Postman | Tipo | Testing API</t>
  </si>
  <si>
    <t>Herramienta | Locust | Tipo | Testing de carga</t>
  </si>
  <si>
    <t>Lenguaje de Programación | Pseudocódigo | — | —</t>
  </si>
  <si>
    <t>1.2 Actividades de Autoaprendizaje</t>
  </si>
  <si>
    <t>Indique la distribución que se debe aplicar del punteo en el laboratorio, recurde que una apropiada distribución de la ponderacion los proyectos deben abarcar entre el 60% y 70% de la nota no un 100% ya que el aprendizaje es continuo durante todo el semestre.</t>
  </si>
  <si>
    <t>Lenguaje de Programación | C# | Framework | .NET</t>
  </si>
  <si>
    <t>Lenguaje de Programación | Prolog | — | —</t>
  </si>
  <si>
    <t>Lenguaje de Programación | Bash | — | —</t>
  </si>
  <si>
    <t>Generadores de Parser</t>
  </si>
  <si>
    <t>Herramienta | CUP | Tipo | Parser Generator</t>
  </si>
  <si>
    <t>Tipo de Actividad</t>
  </si>
  <si>
    <t>Herramienta | JFlex | Tipo | Generador de Parser</t>
  </si>
  <si>
    <t>Ponderacion</t>
  </si>
  <si>
    <t>Cantidad de Actividades</t>
  </si>
  <si>
    <t>Aspectos clave que debe abordar</t>
  </si>
  <si>
    <t>Herramienta | Bison | Tipo | Parser</t>
  </si>
  <si>
    <t>Valor Maximo Recomendado</t>
  </si>
  <si>
    <t>Herramienta | ANTLR | Tipo | Generador de Parser</t>
  </si>
  <si>
    <t>Herramienta | Jison | Tipo | Parser Generator</t>
  </si>
  <si>
    <t>Herramienta | LIME Parser Generator | Tipo | Parser Generator</t>
  </si>
  <si>
    <t>Actividades durante el peridodo de laboratorio</t>
  </si>
  <si>
    <t>Proyectos</t>
  </si>
  <si>
    <t>Prácticas</t>
  </si>
  <si>
    <t>Tareas</t>
  </si>
  <si>
    <t>Total de Punteo Asignado</t>
  </si>
  <si>
    <t>Validacion</t>
  </si>
  <si>
    <t>2. Expectativa</t>
  </si>
  <si>
    <t>Comparta su visión sobre el propósito del laboratorio dentro del curso y lo que espera del tutor para asegurar una experiencia formativa efectiva.</t>
  </si>
  <si>
    <t>Desde su perspectiva, ¿de qué manera el laboratorio puede complementar los contenidos que desarrolla en clase y reforzar las competencias clave del curso?</t>
  </si>
  <si>
    <t>¿Qué funciones, actitudes o conocimientos espera que tenga el tutor para contribuir a una experiencia formativa efectiva en el laboratorio?</t>
  </si>
  <si>
    <t>En su opinion, ¿qué competencia especifica debería desarrollar el estudiante a través del laboratorio para contribuir a su formación profesional?</t>
  </si>
  <si>
    <t>Verbo en Presente</t>
  </si>
  <si>
    <t>Objeto de la acción</t>
  </si>
  <si>
    <t>[Palabras conectoreas] ,  Herramientas, Frameworks o metodología</t>
  </si>
  <si>
    <t>[Palabras conectoreas] Condiciones específicas</t>
  </si>
  <si>
    <t>....</t>
  </si>
  <si>
    <t>Ejemplos. https://drive.google.com/drive/folders/1szLcpzkwozPD6nD4uuaiZQ3mmDRuVKVy?usp=sharing</t>
  </si>
  <si>
    <t>Nota:</t>
  </si>
  <si>
    <t>DC = Docente</t>
  </si>
  <si>
    <t>CA = Coordinador Academico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</si>
</sst>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sz val="12.0"/>
      <color rgb="FFFF6D01"/>
      <name val="Arial"/>
    </font>
    <font>
      <b/>
      <sz val="12.0"/>
      <color theme="1"/>
      <name val="Arial"/>
    </font>
    <font>
      <color theme="1"/>
      <name val="Arial"/>
      <scheme val="minor"/>
    </font>
    <font>
      <b/>
      <sz val="12.0"/>
      <color theme="4"/>
      <name val="Arial"/>
    </font>
    <font>
      <color rgb="FF666666"/>
      <name val="Arial"/>
    </font>
    <font>
      <b/>
      <color theme="4"/>
      <name val="Arial"/>
    </font>
    <font/>
    <font>
      <sz val="12.0"/>
      <color rgb="FF000000"/>
      <name val="Arial"/>
    </font>
    <font>
      <sz val="11.0"/>
      <color theme="1"/>
      <name val="Arial"/>
    </font>
    <font>
      <b/>
      <sz val="11.0"/>
      <color theme="1"/>
      <name val="Arial"/>
    </font>
    <font>
      <color rgb="FFB7B7B7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</fills>
  <borders count="20">
    <border/>
    <border>
      <left style="double">
        <color rgb="FF434343"/>
      </left>
      <top style="double">
        <color rgb="FF434343"/>
      </top>
    </border>
    <border>
      <top style="double">
        <color rgb="FF434343"/>
      </top>
    </border>
    <border>
      <right style="double">
        <color rgb="FF434343"/>
      </right>
      <top style="double">
        <color rgb="FF434343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434343"/>
      </left>
      <right style="double">
        <color rgb="FF434343"/>
      </right>
      <top style="double">
        <color rgb="FF434343"/>
      </top>
      <bottom style="double">
        <color rgb="FF434343"/>
      </bottom>
    </border>
    <border>
      <left style="double">
        <color rgb="FF434343"/>
      </left>
      <top style="double">
        <color rgb="FF434343"/>
      </top>
      <bottom style="double">
        <color rgb="FF434343"/>
      </bottom>
    </border>
    <border>
      <top style="double">
        <color rgb="FF434343"/>
      </top>
      <bottom style="double">
        <color rgb="FF434343"/>
      </bottom>
    </border>
    <border>
      <right style="double">
        <color rgb="FF434343"/>
      </right>
      <top style="double">
        <color rgb="FF434343"/>
      </top>
      <bottom style="double">
        <color rgb="FF434343"/>
      </bottom>
    </border>
    <border>
      <left style="double">
        <color rgb="FF434343"/>
      </left>
      <right style="double">
        <color rgb="FF434343"/>
      </right>
      <top style="double">
        <color rgb="FF434343"/>
      </top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uble">
        <color rgb="FF434343"/>
      </left>
      <bottom style="double">
        <color rgb="FF434343"/>
      </bottom>
    </border>
    <border>
      <bottom style="double">
        <color rgb="FF434343"/>
      </bottom>
    </border>
    <border>
      <right style="double">
        <color rgb="FF434343"/>
      </right>
      <bottom style="double">
        <color rgb="FF434343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 shrinkToFit="0" wrapText="1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6" numFmtId="0" xfId="0" applyFont="1"/>
    <xf borderId="0" fillId="0" fontId="7" numFmtId="0" xfId="0" applyAlignment="1" applyFont="1">
      <alignment shrinkToFit="0" wrapText="1"/>
    </xf>
    <xf borderId="0" fillId="0" fontId="3" numFmtId="0" xfId="0" applyAlignment="1" applyFont="1">
      <alignment horizontal="center"/>
    </xf>
    <xf borderId="0" fillId="0" fontId="8" numFmtId="0" xfId="0" applyFont="1"/>
    <xf borderId="0" fillId="2" fontId="2" numFmtId="0" xfId="0" applyFill="1" applyFont="1"/>
    <xf borderId="1" fillId="2" fontId="2" numFmtId="0" xfId="0" applyAlignment="1" applyBorder="1" applyFill="1" applyFont="1">
      <alignment shrinkToFit="0" wrapText="1"/>
    </xf>
    <xf borderId="2" fillId="0" fontId="9" numFmtId="0" xfId="0" applyBorder="1" applyFont="1"/>
    <xf borderId="3" fillId="0" fontId="9" numFmtId="0" xfId="0" applyBorder="1" applyFont="1"/>
    <xf borderId="4" fillId="0" fontId="1" numFmtId="0" xfId="0" applyAlignment="1" applyBorder="1" applyFont="1">
      <alignment horizontal="center" shrinkToFit="0" wrapText="1"/>
    </xf>
    <xf borderId="5" fillId="0" fontId="1" numFmtId="0" xfId="0" applyAlignment="1" applyBorder="1" applyFont="1">
      <alignment horizontal="center" shrinkToFit="0" wrapText="1"/>
    </xf>
    <xf borderId="6" fillId="0" fontId="9" numFmtId="0" xfId="0" applyBorder="1" applyFont="1"/>
    <xf borderId="7" fillId="0" fontId="9" numFmtId="0" xfId="0" applyBorder="1" applyFont="1"/>
    <xf borderId="4" fillId="0" fontId="2" numFmtId="0" xfId="0" applyBorder="1" applyFont="1"/>
    <xf borderId="5" fillId="0" fontId="2" numFmtId="0" xfId="0" applyBorder="1" applyFont="1"/>
    <xf borderId="4" fillId="0" fontId="2" numFmtId="0" xfId="0" applyAlignment="1" applyBorder="1" applyFont="1">
      <alignment readingOrder="0"/>
    </xf>
    <xf borderId="4" fillId="0" fontId="1" numFmtId="0" xfId="0" applyAlignment="1" applyBorder="1" applyFont="1">
      <alignment horizontal="center"/>
    </xf>
    <xf borderId="5" fillId="0" fontId="2" numFmtId="0" xfId="0" applyAlignment="1" applyBorder="1" applyFont="1">
      <alignment readingOrder="0"/>
    </xf>
    <xf borderId="5" fillId="0" fontId="1" numFmtId="0" xfId="0" applyAlignment="1" applyBorder="1" applyFont="1">
      <alignment horizontal="center"/>
    </xf>
    <xf borderId="0" fillId="0" fontId="2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8" fillId="3" fontId="4" numFmtId="0" xfId="0" applyAlignment="1" applyBorder="1" applyFill="1" applyFont="1">
      <alignment shrinkToFit="0" wrapText="1"/>
    </xf>
    <xf borderId="9" fillId="3" fontId="4" numFmtId="0" xfId="0" applyAlignment="1" applyBorder="1" applyFill="1" applyFont="1">
      <alignment shrinkToFit="0" wrapText="1"/>
    </xf>
    <xf borderId="10" fillId="0" fontId="9" numFmtId="0" xfId="0" applyBorder="1" applyFont="1"/>
    <xf borderId="11" fillId="0" fontId="9" numFmtId="0" xfId="0" applyBorder="1" applyFont="1"/>
    <xf borderId="0" fillId="2" fontId="2" numFmtId="0" xfId="0" applyAlignment="1" applyFill="1" applyFont="1">
      <alignment shrinkToFit="0" wrapText="1"/>
    </xf>
    <xf borderId="8" fillId="0" fontId="10" numFmtId="0" xfId="0" applyAlignment="1" applyBorder="1" applyFont="1">
      <alignment shrinkToFit="0" wrapText="1"/>
    </xf>
    <xf borderId="8" fillId="0" fontId="2" numFmtId="0" xfId="0" applyBorder="1" applyFont="1"/>
    <xf borderId="9" fillId="0" fontId="2" numFmtId="0" xfId="0" applyAlignment="1" applyBorder="1" applyFont="1">
      <alignment shrinkToFit="0" wrapText="1"/>
    </xf>
    <xf borderId="8" fillId="0" fontId="10" numFmtId="0" xfId="0" applyBorder="1" applyFont="1"/>
    <xf borderId="12" fillId="0" fontId="10" numFmtId="0" xfId="0" applyBorder="1" applyFont="1"/>
    <xf borderId="12" fillId="0" fontId="2" numFmtId="0" xfId="0" applyBorder="1" applyFont="1"/>
    <xf borderId="1" fillId="0" fontId="2" numFmtId="0" xfId="0" applyAlignment="1" applyBorder="1" applyFont="1">
      <alignment shrinkToFit="0" wrapText="1"/>
    </xf>
    <xf borderId="4" fillId="4" fontId="4" numFmtId="0" xfId="0" applyAlignment="1" applyBorder="1" applyFill="1" applyFont="1">
      <alignment shrinkToFit="0" wrapText="1"/>
    </xf>
    <xf borderId="4" fillId="4" fontId="2" numFmtId="0" xfId="0" applyBorder="1" applyFill="1" applyFont="1"/>
    <xf borderId="13" fillId="5" fontId="4" numFmtId="0" xfId="0" applyAlignment="1" applyBorder="1" applyFill="1" applyFont="1">
      <alignment shrinkToFit="0" wrapText="1"/>
    </xf>
    <xf borderId="14" fillId="5" fontId="2" numFmtId="0" xfId="0" applyAlignment="1" applyBorder="1" applyFill="1" applyFont="1">
      <alignment shrinkToFit="0" wrapText="1"/>
    </xf>
    <xf borderId="15" fillId="0" fontId="9" numFmtId="0" xfId="0" applyBorder="1" applyFont="1"/>
    <xf borderId="16" fillId="0" fontId="9" numFmtId="0" xfId="0" applyBorder="1" applyFont="1"/>
    <xf borderId="9" fillId="2" fontId="2" numFmtId="0" xfId="0" applyAlignment="1" applyBorder="1" applyFill="1" applyFont="1">
      <alignment shrinkToFit="0" wrapText="1"/>
    </xf>
    <xf borderId="1" fillId="0" fontId="2" numFmtId="0" xfId="0" applyBorder="1" applyFont="1"/>
    <xf borderId="17" fillId="0" fontId="9" numFmtId="0" xfId="0" applyBorder="1" applyFont="1"/>
    <xf borderId="18" fillId="0" fontId="9" numFmtId="0" xfId="0" applyBorder="1" applyFont="1"/>
    <xf borderId="19" fillId="0" fontId="9" numFmtId="0" xfId="0" applyBorder="1" applyFont="1"/>
    <xf borderId="5" fillId="2" fontId="11" numFmtId="0" xfId="0" applyAlignment="1" applyBorder="1" applyFill="1" applyFont="1">
      <alignment horizontal="left" vertical="bottom"/>
    </xf>
    <xf borderId="4" fillId="6" fontId="12" numFmtId="0" xfId="0" applyAlignment="1" applyBorder="1" applyFill="1" applyFont="1">
      <alignment horizontal="center" vertical="bottom"/>
    </xf>
    <xf borderId="5" fillId="6" fontId="12" numFmtId="0" xfId="0" applyAlignment="1" applyBorder="1" applyFill="1" applyFont="1">
      <alignment horizontal="center" vertical="bottom"/>
    </xf>
    <xf borderId="4" fillId="6" fontId="12" numFmtId="0" xfId="0" applyAlignment="1" applyBorder="1" applyFill="1" applyFont="1">
      <alignment horizontal="center" shrinkToFit="0" vertical="bottom" wrapText="1"/>
    </xf>
    <xf borderId="5" fillId="6" fontId="12" numFmtId="0" xfId="0" applyAlignment="1" applyBorder="1" applyFill="1" applyFont="1">
      <alignment horizontal="center" shrinkToFit="0" vertical="bottom" wrapText="1"/>
    </xf>
    <xf borderId="4" fillId="7" fontId="2" numFmtId="0" xfId="0" applyAlignment="1" applyBorder="1" applyFill="1" applyFont="1">
      <alignment shrinkToFit="0" vertical="bottom" wrapText="1"/>
    </xf>
    <xf borderId="5" fillId="8" fontId="2" numFmtId="0" xfId="0" applyAlignment="1" applyBorder="1" applyFill="1" applyFont="1">
      <alignment shrinkToFit="0" vertical="bottom" wrapText="1"/>
    </xf>
    <xf borderId="4" fillId="9" fontId="2" numFmtId="0" xfId="0" applyAlignment="1" applyBorder="1" applyFill="1" applyFont="1">
      <alignment shrinkToFit="0" vertical="bottom" wrapText="1"/>
    </xf>
    <xf borderId="5" fillId="10" fontId="2" numFmtId="0" xfId="0" applyAlignment="1" applyBorder="1" applyFill="1" applyFont="1">
      <alignment shrinkToFit="0" vertical="bottom" wrapText="1"/>
    </xf>
    <xf borderId="0" fillId="0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304800</xdr:colOff>
      <xdr:row>0</xdr:row>
      <xdr:rowOff>133350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21.5"/>
    <col customWidth="1" min="3" max="3" width="22.25"/>
  </cols>
  <sheetData>
    <row r="1" ht="15.75" customHeight="1">
      <c r="B1" s="9" t="s">
        <v>34</v>
      </c>
    </row>
    <row r="2" ht="15.75" customHeight="1">
      <c r="B2" s="5"/>
    </row>
    <row r="3" ht="15.75" customHeight="1">
      <c r="B3" s="5" t="s">
        <v>17</v>
      </c>
      <c r="C3" s="6" t="s">
        <v>20</v>
      </c>
    </row>
    <row r="4" ht="15.75" customHeight="1">
      <c r="B4" s="5" t="s">
        <v>50</v>
      </c>
      <c r="C4" s="6" t="s">
        <v>51</v>
      </c>
    </row>
    <row r="5" ht="15.75" customHeight="1"/>
    <row r="6" ht="15.75" customHeight="1">
      <c r="B6" s="7" t="s">
        <v>31</v>
      </c>
    </row>
    <row r="7" ht="15.75" customHeight="1">
      <c r="B7" s="8" t="s">
        <v>35</v>
      </c>
    </row>
    <row r="8" ht="15.75" customHeight="1"/>
    <row r="9" ht="15.75" customHeight="1">
      <c r="B9" s="10" t="s">
        <v>38</v>
      </c>
    </row>
    <row r="10" ht="15.75" customHeight="1"/>
    <row r="11" ht="15.75" customHeight="1">
      <c r="B11" s="12" t="s">
        <v>45</v>
      </c>
      <c r="C11" s="13"/>
      <c r="D11" s="13"/>
      <c r="E11" s="13"/>
      <c r="F11" s="13"/>
      <c r="G11" s="14"/>
    </row>
    <row r="12" ht="15.75" customHeight="1">
      <c r="B12" s="15" t="s">
        <v>52</v>
      </c>
      <c r="C12" s="15" t="s">
        <v>54</v>
      </c>
      <c r="D12" s="16" t="s">
        <v>56</v>
      </c>
      <c r="E12" s="17"/>
      <c r="F12" s="17"/>
      <c r="G12" s="18"/>
    </row>
    <row r="13" ht="15.75" customHeight="1">
      <c r="B13" s="19">
        <v>1.0</v>
      </c>
      <c r="C13" s="21" t="s">
        <v>66</v>
      </c>
      <c r="D13" s="23" t="s">
        <v>19</v>
      </c>
      <c r="E13" s="17"/>
      <c r="F13" s="17"/>
      <c r="G13" s="18"/>
    </row>
    <row r="14" ht="15.75" customHeight="1">
      <c r="B14" s="19">
        <v>2.0</v>
      </c>
      <c r="C14" s="19"/>
      <c r="D14" s="20"/>
      <c r="E14" s="17"/>
      <c r="F14" s="17"/>
      <c r="G14" s="18"/>
    </row>
    <row r="15" ht="29.25" customHeight="1">
      <c r="B15" s="19">
        <v>3.0</v>
      </c>
      <c r="C15" s="19" t="s">
        <v>69</v>
      </c>
      <c r="D15" s="20"/>
      <c r="E15" s="17"/>
      <c r="F15" s="17"/>
      <c r="G15" s="18"/>
    </row>
    <row r="16" ht="15.75" customHeight="1"/>
    <row r="17" ht="33.0" customHeight="1">
      <c r="B17" s="12" t="s">
        <v>72</v>
      </c>
      <c r="C17" s="13"/>
      <c r="D17" s="13"/>
      <c r="E17" s="13"/>
      <c r="F17" s="13"/>
      <c r="G17" s="14"/>
    </row>
    <row r="18" ht="15.75" customHeight="1">
      <c r="B18" s="22" t="s">
        <v>52</v>
      </c>
      <c r="C18" s="22" t="s">
        <v>54</v>
      </c>
      <c r="D18" s="24" t="s">
        <v>56</v>
      </c>
      <c r="E18" s="17"/>
      <c r="F18" s="17"/>
      <c r="G18" s="18"/>
    </row>
    <row r="19" ht="15.75" customHeight="1">
      <c r="B19" s="19">
        <v>1.0</v>
      </c>
      <c r="C19" s="19"/>
      <c r="D19" s="20"/>
      <c r="E19" s="17"/>
      <c r="F19" s="17"/>
      <c r="G19" s="18"/>
    </row>
    <row r="20" ht="15.75" customHeight="1">
      <c r="B20" s="19">
        <v>2.0</v>
      </c>
      <c r="C20" s="19"/>
      <c r="D20" s="20"/>
      <c r="E20" s="17"/>
      <c r="F20" s="17"/>
      <c r="G20" s="18"/>
    </row>
    <row r="21" ht="15.75" customHeight="1">
      <c r="B21" s="19">
        <v>3.0</v>
      </c>
      <c r="C21" s="19" t="s">
        <v>69</v>
      </c>
      <c r="D21" s="20"/>
      <c r="E21" s="17"/>
      <c r="F21" s="17"/>
      <c r="G21" s="18"/>
    </row>
    <row r="22" ht="15.75" customHeight="1"/>
    <row r="23" ht="15.75" customHeight="1">
      <c r="B23" s="10" t="s">
        <v>84</v>
      </c>
    </row>
    <row r="24" ht="15.75" customHeight="1">
      <c r="B24" s="8" t="s">
        <v>85</v>
      </c>
    </row>
    <row r="25" ht="15.75" customHeight="1">
      <c r="A25" s="25"/>
      <c r="B25" s="26"/>
      <c r="C25" s="26"/>
      <c r="D25" s="26"/>
      <c r="E25" s="26"/>
      <c r="F25" s="26"/>
      <c r="G25" s="26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</row>
    <row r="26" ht="15.75" customHeight="1">
      <c r="A26" s="25"/>
      <c r="B26" s="27" t="s">
        <v>91</v>
      </c>
      <c r="C26" s="27" t="s">
        <v>93</v>
      </c>
      <c r="D26" s="27" t="s">
        <v>94</v>
      </c>
      <c r="E26" s="28" t="s">
        <v>95</v>
      </c>
      <c r="F26" s="29"/>
      <c r="G26" s="30"/>
      <c r="H26" s="31" t="s">
        <v>97</v>
      </c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</row>
    <row r="27" ht="15.75" customHeight="1">
      <c r="B27" s="32" t="s">
        <v>101</v>
      </c>
      <c r="C27" s="33">
        <v>0.0</v>
      </c>
      <c r="D27" s="33"/>
      <c r="E27" s="34"/>
      <c r="F27" s="29"/>
      <c r="G27" s="30"/>
      <c r="H27" s="11">
        <v>10.0</v>
      </c>
    </row>
    <row r="28" ht="45.0" customHeight="1">
      <c r="B28" s="35" t="s">
        <v>102</v>
      </c>
      <c r="C28" s="33">
        <v>0.0</v>
      </c>
      <c r="D28" s="33"/>
      <c r="E28" s="34"/>
      <c r="F28" s="29"/>
      <c r="G28" s="30"/>
      <c r="H28" s="11">
        <v>60.0</v>
      </c>
    </row>
    <row r="29" ht="36.75" customHeight="1">
      <c r="B29" s="35" t="s">
        <v>103</v>
      </c>
      <c r="C29" s="33">
        <v>0.0</v>
      </c>
      <c r="D29" s="33"/>
      <c r="E29" s="34"/>
      <c r="F29" s="29"/>
      <c r="G29" s="30"/>
      <c r="H29" s="11">
        <v>20.0</v>
      </c>
    </row>
    <row r="30" ht="36.0" customHeight="1">
      <c r="B30" s="36" t="s">
        <v>104</v>
      </c>
      <c r="C30" s="37">
        <v>0.0</v>
      </c>
      <c r="D30" s="33"/>
      <c r="E30" s="38"/>
      <c r="F30" s="13"/>
      <c r="G30" s="14"/>
      <c r="H30" s="11">
        <v>10.0</v>
      </c>
    </row>
    <row r="31" ht="15.75" customHeight="1">
      <c r="B31" s="39" t="s">
        <v>105</v>
      </c>
      <c r="C31" s="40">
        <f>SUM(C27:C30)</f>
        <v>0</v>
      </c>
      <c r="E31" s="41" t="s">
        <v>106</v>
      </c>
      <c r="F31" s="42" t="str">
        <f>IFERROR(__xludf.DUMMYFUNCTION("LET(
  nombres,B27:B30,
  p,C27:C30,
  m,H27:H30,
  t,SUM(p),
  exceden, IFERROR(TEXTJOIN(""; "", TRUE, FILTER(nombres&amp;"" (""&amp;p&amp;""&gt;""&amp;m&amp;"")"", p&gt;m)), """"),
  negs, IF(COUNTIF(p,""&lt;0"")&gt;0, ""Hay valores negativos"", """"),
  totalmsg, IF(t&lt;&gt;100, ""Total ≠"&amp;" 100 (actual ""&amp;t&amp;"")"", """"),
  excesomsg, IF(exceden&lt;&gt;"""", ""Exceden: ""&amp;exceden, """"),
  msg, TEXTJOIN("" | "", TRUE, totalmsg, negs, excesomsg),
  IF(msg="""", ""✅ Distribución válida"", ""❌ Revisar: ""&amp;msg)
)"),"❌ Revisar: Total ≠ 100 (actual 0)")</f>
        <v>❌ Revisar: Total ≠ 100 (actual 0)</v>
      </c>
      <c r="G31" s="43"/>
      <c r="H31" s="44"/>
    </row>
    <row r="32" ht="15.75" customHeight="1">
      <c r="B32" s="5"/>
    </row>
    <row r="33" ht="15.75" customHeight="1">
      <c r="B33" s="7" t="s">
        <v>107</v>
      </c>
    </row>
    <row r="34" ht="15.75" customHeight="1">
      <c r="B34" s="8" t="s">
        <v>108</v>
      </c>
    </row>
    <row r="35" ht="15.75" customHeight="1"/>
    <row r="36" ht="15.75" customHeight="1">
      <c r="B36" s="45" t="s">
        <v>109</v>
      </c>
      <c r="C36" s="29"/>
      <c r="D36" s="29"/>
      <c r="E36" s="29"/>
      <c r="F36" s="29"/>
      <c r="G36" s="30"/>
    </row>
    <row r="37" ht="15.75" customHeight="1">
      <c r="B37" s="46"/>
      <c r="C37" s="13"/>
      <c r="D37" s="13"/>
      <c r="E37" s="13"/>
      <c r="F37" s="13"/>
      <c r="G37" s="14"/>
    </row>
    <row r="38" ht="15.75" customHeight="1">
      <c r="B38" s="47"/>
      <c r="C38" s="48"/>
      <c r="D38" s="48"/>
      <c r="E38" s="48"/>
      <c r="F38" s="48"/>
      <c r="G38" s="49"/>
    </row>
    <row r="39" ht="15.75" customHeight="1"/>
    <row r="40" ht="15.75" customHeight="1">
      <c r="B40" s="45" t="s">
        <v>110</v>
      </c>
      <c r="C40" s="29"/>
      <c r="D40" s="29"/>
      <c r="E40" s="29"/>
      <c r="F40" s="29"/>
      <c r="G40" s="30"/>
    </row>
    <row r="41" ht="15.75" customHeight="1">
      <c r="B41" s="46"/>
      <c r="C41" s="13"/>
      <c r="D41" s="13"/>
      <c r="E41" s="13"/>
      <c r="F41" s="13"/>
      <c r="G41" s="14"/>
    </row>
    <row r="42" ht="15.75" customHeight="1">
      <c r="B42" s="47"/>
      <c r="C42" s="48"/>
      <c r="D42" s="48"/>
      <c r="E42" s="48"/>
      <c r="F42" s="48"/>
      <c r="G42" s="49"/>
    </row>
    <row r="43" ht="15.75" customHeight="1"/>
    <row r="44" ht="15.75" customHeight="1">
      <c r="B44" s="12" t="s">
        <v>111</v>
      </c>
      <c r="C44" s="13"/>
      <c r="D44" s="13"/>
      <c r="E44" s="13"/>
      <c r="F44" s="13"/>
      <c r="G44" s="14"/>
    </row>
    <row r="45" ht="15.75" customHeight="1">
      <c r="B45" s="46"/>
      <c r="C45" s="13"/>
      <c r="D45" s="13"/>
      <c r="E45" s="13"/>
      <c r="F45" s="13"/>
      <c r="G45" s="14"/>
    </row>
    <row r="46" ht="15.75" customHeight="1">
      <c r="B46" s="47"/>
      <c r="C46" s="48"/>
      <c r="D46" s="48"/>
      <c r="E46" s="48"/>
      <c r="F46" s="48"/>
      <c r="G46" s="49"/>
    </row>
    <row r="47" ht="15.75" customHeight="1">
      <c r="B47" s="50" t="str">
        <f>CONCATENATE("El Estudiante ",B49,C49,E49,F49)</f>
        <v>El Estudiante ....</v>
      </c>
      <c r="C47" s="17"/>
      <c r="D47" s="17"/>
      <c r="E47" s="17"/>
      <c r="F47" s="17"/>
      <c r="G47" s="18"/>
    </row>
    <row r="48" ht="15.75" customHeight="1">
      <c r="B48" s="51" t="s">
        <v>112</v>
      </c>
      <c r="C48" s="52" t="s">
        <v>113</v>
      </c>
      <c r="D48" s="18"/>
      <c r="E48" s="53" t="s">
        <v>114</v>
      </c>
      <c r="F48" s="54" t="s">
        <v>115</v>
      </c>
      <c r="G48" s="18"/>
    </row>
    <row r="49" ht="54.75" customHeight="1">
      <c r="A49" s="25"/>
      <c r="B49" s="55" t="s">
        <v>116</v>
      </c>
      <c r="C49" s="56"/>
      <c r="D49" s="18"/>
      <c r="E49" s="57"/>
      <c r="F49" s="58"/>
      <c r="G49" s="18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</row>
    <row r="50" ht="15.75" customHeight="1">
      <c r="B50" s="59" t="s">
        <v>117</v>
      </c>
    </row>
    <row r="51" ht="15.75" customHeight="1"/>
    <row r="52" ht="15.75" customHeight="1">
      <c r="B52" s="3" t="s">
        <v>118</v>
      </c>
    </row>
    <row r="53" ht="15.75" customHeight="1">
      <c r="B53" s="3" t="s">
        <v>119</v>
      </c>
    </row>
    <row r="54" ht="15.75" customHeight="1">
      <c r="B54" s="3" t="s">
        <v>120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7:G47"/>
    <mergeCell ref="C48:D48"/>
    <mergeCell ref="F48:G48"/>
    <mergeCell ref="C49:D49"/>
    <mergeCell ref="F49:G49"/>
    <mergeCell ref="B34:G34"/>
    <mergeCell ref="B36:G36"/>
    <mergeCell ref="B37:G38"/>
    <mergeCell ref="B40:G40"/>
    <mergeCell ref="B41:G42"/>
    <mergeCell ref="B44:G44"/>
    <mergeCell ref="B45:G46"/>
  </mergeCells>
  <conditionalFormatting sqref="C13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C13:C14">
      <formula1>Metadata!$A$2:$A$103</formula1>
    </dataValidation>
    <dataValidation type="list" allowBlank="1" showErrorMessage="1" sqref="C19:C20">
      <formula1>Metadata!$E$2:$E$103</formula1>
    </dataValidation>
    <dataValidation type="list" allowBlank="1" showErrorMessage="1" sqref="D19:D20">
      <formula1>Metadata!$F$2:$F$103</formula1>
    </dataValidation>
    <dataValidation type="list" allowBlank="1" showErrorMessage="1" sqref="D13:D14">
      <formula1>Metadata!$B$3:$B$103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21.5"/>
    <col customWidth="1" min="3" max="3" width="13.38"/>
  </cols>
  <sheetData>
    <row r="1" ht="15.75" customHeight="1">
      <c r="B1" s="4" t="s">
        <v>9</v>
      </c>
    </row>
    <row r="2" ht="15.75" customHeight="1">
      <c r="B2" s="5"/>
    </row>
    <row r="3" ht="15.75" customHeight="1">
      <c r="B3" s="5" t="s">
        <v>17</v>
      </c>
      <c r="C3" s="6" t="s">
        <v>20</v>
      </c>
    </row>
    <row r="4" ht="15.75" customHeight="1">
      <c r="B4" s="5" t="s">
        <v>25</v>
      </c>
      <c r="C4" s="6" t="s">
        <v>27</v>
      </c>
    </row>
    <row r="5" ht="15.75" customHeight="1"/>
    <row r="6" ht="15.75" customHeight="1">
      <c r="B6" s="7" t="s">
        <v>31</v>
      </c>
    </row>
    <row r="7" ht="15.75" customHeight="1">
      <c r="B7" s="8" t="s">
        <v>35</v>
      </c>
    </row>
    <row r="8" ht="15.75" customHeight="1"/>
    <row r="9" ht="15.75" customHeight="1">
      <c r="B9" s="10" t="s">
        <v>38</v>
      </c>
    </row>
    <row r="10" ht="15.75" customHeight="1"/>
    <row r="11" ht="15.75" customHeight="1">
      <c r="B11" s="12" t="s">
        <v>45</v>
      </c>
      <c r="C11" s="13"/>
      <c r="D11" s="13"/>
      <c r="E11" s="13"/>
      <c r="F11" s="13"/>
      <c r="G11" s="14"/>
    </row>
    <row r="12" ht="15.75" customHeight="1">
      <c r="B12" s="15" t="s">
        <v>52</v>
      </c>
      <c r="C12" s="15" t="s">
        <v>54</v>
      </c>
      <c r="D12" s="16" t="s">
        <v>56</v>
      </c>
      <c r="E12" s="17"/>
      <c r="F12" s="17"/>
      <c r="G12" s="18"/>
    </row>
    <row r="13" ht="15.75" customHeight="1">
      <c r="B13" s="19">
        <v>1.0</v>
      </c>
      <c r="C13" s="19"/>
      <c r="D13" s="20"/>
      <c r="E13" s="17"/>
      <c r="F13" s="17"/>
      <c r="G13" s="18"/>
    </row>
    <row r="14" ht="29.25" customHeight="1">
      <c r="B14" s="19">
        <v>2.0</v>
      </c>
      <c r="C14" s="19"/>
      <c r="D14" s="20"/>
      <c r="E14" s="17"/>
      <c r="F14" s="17"/>
      <c r="G14" s="18"/>
    </row>
    <row r="15" ht="29.25" customHeight="1">
      <c r="B15" s="19">
        <v>3.0</v>
      </c>
      <c r="C15" s="19" t="s">
        <v>69</v>
      </c>
      <c r="D15" s="20"/>
      <c r="E15" s="17"/>
      <c r="F15" s="17"/>
      <c r="G15" s="18"/>
    </row>
    <row r="16" ht="33.0" customHeight="1"/>
    <row r="17" ht="33.0" customHeight="1">
      <c r="B17" s="12" t="s">
        <v>72</v>
      </c>
      <c r="C17" s="13"/>
      <c r="D17" s="13"/>
      <c r="E17" s="13"/>
      <c r="F17" s="13"/>
      <c r="G17" s="14"/>
    </row>
    <row r="18" ht="15.75" customHeight="1">
      <c r="B18" s="22" t="s">
        <v>52</v>
      </c>
      <c r="C18" s="22" t="s">
        <v>54</v>
      </c>
      <c r="D18" s="24" t="s">
        <v>56</v>
      </c>
      <c r="E18" s="17"/>
      <c r="F18" s="17"/>
      <c r="G18" s="18"/>
    </row>
    <row r="19" ht="15.75" customHeight="1">
      <c r="B19" s="19">
        <v>1.0</v>
      </c>
      <c r="C19" s="19"/>
      <c r="D19" s="20"/>
      <c r="E19" s="17"/>
      <c r="F19" s="17"/>
      <c r="G19" s="18"/>
    </row>
    <row r="20" ht="15.75" customHeight="1">
      <c r="B20" s="19">
        <v>2.0</v>
      </c>
      <c r="C20" s="19"/>
      <c r="D20" s="20"/>
      <c r="E20" s="17"/>
      <c r="F20" s="17"/>
      <c r="G20" s="18"/>
    </row>
    <row r="21" ht="15.75" customHeight="1">
      <c r="B21" s="19">
        <v>3.0</v>
      </c>
      <c r="C21" s="19" t="s">
        <v>69</v>
      </c>
      <c r="D21" s="20"/>
      <c r="E21" s="17"/>
      <c r="F21" s="17"/>
      <c r="G21" s="18"/>
    </row>
    <row r="22" ht="15.75" customHeight="1"/>
    <row r="23" ht="15.75" customHeight="1">
      <c r="B23" s="10" t="s">
        <v>84</v>
      </c>
    </row>
    <row r="24" ht="15.75" customHeight="1">
      <c r="B24" s="8" t="s">
        <v>85</v>
      </c>
    </row>
    <row r="25" ht="45.0" customHeight="1">
      <c r="A25" s="25"/>
      <c r="B25" s="26"/>
      <c r="C25" s="26"/>
      <c r="D25" s="26"/>
      <c r="E25" s="26"/>
      <c r="F25" s="26"/>
      <c r="G25" s="26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</row>
    <row r="26" ht="36.75" customHeight="1">
      <c r="A26" s="25"/>
      <c r="B26" s="27" t="s">
        <v>91</v>
      </c>
      <c r="C26" s="27" t="s">
        <v>93</v>
      </c>
      <c r="D26" s="27" t="s">
        <v>94</v>
      </c>
      <c r="E26" s="28" t="s">
        <v>95</v>
      </c>
      <c r="F26" s="29"/>
      <c r="G26" s="30"/>
      <c r="H26" s="31" t="s">
        <v>97</v>
      </c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</row>
    <row r="27" ht="36.0" customHeight="1">
      <c r="B27" s="32" t="s">
        <v>101</v>
      </c>
      <c r="C27" s="33">
        <v>0.0</v>
      </c>
      <c r="D27" s="33"/>
      <c r="E27" s="34"/>
      <c r="F27" s="29"/>
      <c r="G27" s="30"/>
      <c r="H27" s="11">
        <v>10.0</v>
      </c>
    </row>
    <row r="28" ht="45.0" customHeight="1">
      <c r="B28" s="35" t="s">
        <v>102</v>
      </c>
      <c r="C28" s="33">
        <v>0.0</v>
      </c>
      <c r="D28" s="33"/>
      <c r="E28" s="34"/>
      <c r="F28" s="29"/>
      <c r="G28" s="30"/>
      <c r="H28" s="11">
        <v>60.0</v>
      </c>
    </row>
    <row r="29" ht="36.75" customHeight="1">
      <c r="B29" s="35" t="s">
        <v>103</v>
      </c>
      <c r="C29" s="33">
        <v>0.0</v>
      </c>
      <c r="D29" s="33"/>
      <c r="E29" s="34"/>
      <c r="F29" s="29"/>
      <c r="G29" s="30"/>
      <c r="H29" s="11">
        <v>20.0</v>
      </c>
    </row>
    <row r="30" ht="36.0" customHeight="1">
      <c r="B30" s="36" t="s">
        <v>104</v>
      </c>
      <c r="C30" s="37">
        <v>0.0</v>
      </c>
      <c r="D30" s="33"/>
      <c r="E30" s="38"/>
      <c r="F30" s="13"/>
      <c r="G30" s="14"/>
      <c r="H30" s="11">
        <v>10.0</v>
      </c>
    </row>
    <row r="31" ht="15.75" customHeight="1">
      <c r="B31" s="39" t="s">
        <v>105</v>
      </c>
      <c r="C31" s="40">
        <f>SUM(C27:C30)</f>
        <v>0</v>
      </c>
      <c r="E31" s="41" t="s">
        <v>106</v>
      </c>
      <c r="F31" s="42" t="str">
        <f>IFERROR(__xludf.DUMMYFUNCTION("LET(
  nombres,B27:B30,
  p,C27:C30,
  m,H27:H30,
  t,SUM(p),
  exceden, IFERROR(TEXTJOIN(""; "", TRUE, FILTER(nombres&amp;"" (""&amp;p&amp;""&gt;""&amp;m&amp;"")"", p&gt;m)), """"),
  negs, IF(COUNTIF(p,""&lt;0"")&gt;0, ""Hay valores negativos"", """"),
  totalmsg, IF(t&lt;&gt;100, ""Total ≠"&amp;" 100 (actual ""&amp;t&amp;"")"", """"),
  excesomsg, IF(exceden&lt;&gt;"""", ""Exceden: ""&amp;exceden, """"),
  msg, TEXTJOIN("" | "", TRUE, totalmsg, negs, excesomsg),
  IF(msg="""", ""✅ Distribución válida"", ""❌ Revisar: ""&amp;msg)
)"),"❌ Revisar: Total ≠ 100 (actual 0)")</f>
        <v>❌ Revisar: Total ≠ 100 (actual 0)</v>
      </c>
      <c r="G31" s="43"/>
      <c r="H31" s="44"/>
    </row>
    <row r="32" ht="15.75" customHeight="1">
      <c r="B32" s="5"/>
    </row>
    <row r="33" ht="15.75" customHeight="1">
      <c r="B33" s="7" t="s">
        <v>107</v>
      </c>
    </row>
    <row r="34" ht="15.75" customHeight="1">
      <c r="B34" s="8" t="s">
        <v>108</v>
      </c>
    </row>
    <row r="35" ht="15.75" customHeight="1"/>
    <row r="36" ht="15.75" customHeight="1">
      <c r="B36" s="45" t="s">
        <v>109</v>
      </c>
      <c r="C36" s="29"/>
      <c r="D36" s="29"/>
      <c r="E36" s="29"/>
      <c r="F36" s="29"/>
      <c r="G36" s="30"/>
    </row>
    <row r="37" ht="15.75" customHeight="1">
      <c r="B37" s="46"/>
      <c r="C37" s="13"/>
      <c r="D37" s="13"/>
      <c r="E37" s="13"/>
      <c r="F37" s="13"/>
      <c r="G37" s="14"/>
    </row>
    <row r="38" ht="15.75" customHeight="1">
      <c r="B38" s="47"/>
      <c r="C38" s="48"/>
      <c r="D38" s="48"/>
      <c r="E38" s="48"/>
      <c r="F38" s="48"/>
      <c r="G38" s="49"/>
    </row>
    <row r="39" ht="15.75" customHeight="1"/>
    <row r="40" ht="15.75" customHeight="1">
      <c r="B40" s="45" t="s">
        <v>110</v>
      </c>
      <c r="C40" s="29"/>
      <c r="D40" s="29"/>
      <c r="E40" s="29"/>
      <c r="F40" s="29"/>
      <c r="G40" s="30"/>
    </row>
    <row r="41" ht="15.75" customHeight="1">
      <c r="B41" s="46"/>
      <c r="C41" s="13"/>
      <c r="D41" s="13"/>
      <c r="E41" s="13"/>
      <c r="F41" s="13"/>
      <c r="G41" s="14"/>
    </row>
    <row r="42" ht="15.75" customHeight="1">
      <c r="B42" s="47"/>
      <c r="C42" s="48"/>
      <c r="D42" s="48"/>
      <c r="E42" s="48"/>
      <c r="F42" s="48"/>
      <c r="G42" s="49"/>
    </row>
    <row r="43" ht="15.75" customHeight="1"/>
    <row r="44" ht="15.75" customHeight="1">
      <c r="B44" s="12" t="s">
        <v>111</v>
      </c>
      <c r="C44" s="13"/>
      <c r="D44" s="13"/>
      <c r="E44" s="13"/>
      <c r="F44" s="13"/>
      <c r="G44" s="14"/>
    </row>
    <row r="45" ht="15.75" customHeight="1">
      <c r="B45" s="46"/>
      <c r="C45" s="13"/>
      <c r="D45" s="13"/>
      <c r="E45" s="13"/>
      <c r="F45" s="13"/>
      <c r="G45" s="14"/>
    </row>
    <row r="46" ht="54.75" customHeight="1">
      <c r="B46" s="47"/>
      <c r="C46" s="48"/>
      <c r="D46" s="48"/>
      <c r="E46" s="48"/>
      <c r="F46" s="48"/>
      <c r="G46" s="49"/>
    </row>
    <row r="47" ht="15.75" customHeight="1">
      <c r="B47" s="50" t="str">
        <f>CONCATENATE("El Estudiante ",B49,C49,E49,F49)</f>
        <v>El Estudiante ....</v>
      </c>
      <c r="C47" s="17"/>
      <c r="D47" s="17"/>
      <c r="E47" s="17"/>
      <c r="F47" s="17"/>
      <c r="G47" s="18"/>
    </row>
    <row r="48" ht="15.75" customHeight="1">
      <c r="B48" s="51" t="s">
        <v>112</v>
      </c>
      <c r="C48" s="52" t="s">
        <v>113</v>
      </c>
      <c r="D48" s="18"/>
      <c r="E48" s="53" t="s">
        <v>114</v>
      </c>
      <c r="F48" s="54" t="s">
        <v>115</v>
      </c>
      <c r="G48" s="18"/>
    </row>
    <row r="49" ht="54.75" customHeight="1">
      <c r="A49" s="25"/>
      <c r="B49" s="55" t="s">
        <v>116</v>
      </c>
      <c r="C49" s="56"/>
      <c r="D49" s="18"/>
      <c r="E49" s="57"/>
      <c r="F49" s="58"/>
      <c r="G49" s="18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</row>
    <row r="50" ht="15.75" customHeight="1">
      <c r="B50" s="59" t="s">
        <v>117</v>
      </c>
    </row>
    <row r="51" ht="15.75" customHeight="1"/>
    <row r="52" ht="15.75" customHeight="1">
      <c r="B52" s="3" t="s">
        <v>118</v>
      </c>
    </row>
    <row r="53" ht="15.75" customHeight="1">
      <c r="B53" s="3" t="s">
        <v>119</v>
      </c>
    </row>
    <row r="54" ht="15.75" customHeight="1">
      <c r="B54" s="3" t="s">
        <v>120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7:G47"/>
    <mergeCell ref="C48:D48"/>
    <mergeCell ref="F48:G48"/>
    <mergeCell ref="C49:D49"/>
    <mergeCell ref="F49:G49"/>
    <mergeCell ref="B34:G34"/>
    <mergeCell ref="B36:G36"/>
    <mergeCell ref="B37:G38"/>
    <mergeCell ref="B40:G40"/>
    <mergeCell ref="B41:G42"/>
    <mergeCell ref="B44:G44"/>
    <mergeCell ref="B45:G46"/>
  </mergeCells>
  <dataValidations>
    <dataValidation type="list" allowBlank="1" showErrorMessage="1" sqref="C13:C14">
      <formula1>Metadata!$A$2:$A$103</formula1>
    </dataValidation>
    <dataValidation type="list" allowBlank="1" showErrorMessage="1" sqref="C19:C20">
      <formula1>Metadata!$E$2:$E$103</formula1>
    </dataValidation>
    <dataValidation type="list" allowBlank="1" showErrorMessage="1" sqref="D19:D20">
      <formula1>Metadata!$F$2:$F$103</formula1>
    </dataValidation>
    <dataValidation type="list" allowBlank="1" showErrorMessage="1" sqref="D13:D14">
      <formula1>Metadata!$B$3:$B$103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48.5"/>
    <col customWidth="1" hidden="1" min="3" max="3" width="18.0"/>
    <col customWidth="1" hidden="1" min="4" max="4" width="39.13"/>
    <col customWidth="1" min="5" max="5" width="18.0"/>
    <col customWidth="1" min="6" max="6" width="39.13"/>
  </cols>
  <sheetData>
    <row r="1" ht="15.75" customHeight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</row>
    <row r="2" ht="15.75" customHeight="1">
      <c r="A2" s="3" t="s">
        <v>6</v>
      </c>
      <c r="B2" s="3" t="s">
        <v>7</v>
      </c>
      <c r="E2" s="3" t="s">
        <v>8</v>
      </c>
      <c r="F2" s="3" t="s">
        <v>10</v>
      </c>
      <c r="H2" s="3" t="s">
        <v>11</v>
      </c>
    </row>
    <row r="3" ht="15.75" customHeight="1">
      <c r="B3" s="3" t="s">
        <v>12</v>
      </c>
      <c r="F3" s="3" t="s">
        <v>13</v>
      </c>
    </row>
    <row r="4" ht="15.75" customHeight="1">
      <c r="B4" s="3" t="s">
        <v>14</v>
      </c>
      <c r="F4" s="3" t="s">
        <v>15</v>
      </c>
    </row>
    <row r="5" ht="15.75" customHeight="1">
      <c r="B5" s="3" t="s">
        <v>16</v>
      </c>
      <c r="F5" s="3" t="s">
        <v>18</v>
      </c>
    </row>
    <row r="6" ht="15.75" customHeight="1">
      <c r="B6" s="3" t="s">
        <v>19</v>
      </c>
      <c r="E6" s="3" t="s">
        <v>21</v>
      </c>
      <c r="F6" s="3" t="s">
        <v>22</v>
      </c>
    </row>
    <row r="7" ht="15.75" customHeight="1">
      <c r="B7" s="3" t="s">
        <v>23</v>
      </c>
      <c r="F7" s="3" t="s">
        <v>24</v>
      </c>
    </row>
    <row r="8" ht="15.75" customHeight="1">
      <c r="A8" s="3" t="s">
        <v>26</v>
      </c>
      <c r="B8" s="3" t="s">
        <v>28</v>
      </c>
      <c r="E8" s="3" t="s">
        <v>29</v>
      </c>
      <c r="F8" s="3" t="s">
        <v>30</v>
      </c>
    </row>
    <row r="9" ht="15.75" customHeight="1">
      <c r="B9" s="3" t="s">
        <v>32</v>
      </c>
      <c r="F9" s="3" t="s">
        <v>33</v>
      </c>
    </row>
    <row r="10" ht="15.75" customHeight="1">
      <c r="B10" s="3" t="s">
        <v>36</v>
      </c>
      <c r="F10" s="3" t="s">
        <v>37</v>
      </c>
    </row>
    <row r="11" ht="15.75" customHeight="1">
      <c r="A11" s="3" t="s">
        <v>39</v>
      </c>
      <c r="B11" s="3" t="s">
        <v>40</v>
      </c>
      <c r="F11" s="3" t="s">
        <v>41</v>
      </c>
    </row>
    <row r="12" ht="15.75" customHeight="1">
      <c r="B12" s="3" t="s">
        <v>42</v>
      </c>
      <c r="F12" s="3" t="s">
        <v>43</v>
      </c>
    </row>
    <row r="13" ht="15.75" customHeight="1">
      <c r="B13" s="3" t="s">
        <v>44</v>
      </c>
      <c r="E13" s="11"/>
      <c r="F13" s="3" t="s">
        <v>46</v>
      </c>
    </row>
    <row r="14" ht="15.75" customHeight="1">
      <c r="A14" s="3" t="s">
        <v>47</v>
      </c>
      <c r="B14" s="3" t="s">
        <v>48</v>
      </c>
      <c r="E14" s="11"/>
      <c r="F14" s="3"/>
    </row>
    <row r="15" ht="15.75" customHeight="1">
      <c r="B15" s="3" t="s">
        <v>49</v>
      </c>
      <c r="E15" s="11"/>
      <c r="F15" s="3"/>
    </row>
    <row r="16" ht="15.75" customHeight="1">
      <c r="B16" s="3" t="s">
        <v>53</v>
      </c>
      <c r="E16" s="11"/>
      <c r="F16" s="3"/>
    </row>
    <row r="17" ht="15.75" customHeight="1">
      <c r="B17" s="3" t="s">
        <v>55</v>
      </c>
      <c r="E17" s="11"/>
      <c r="F17" s="3"/>
    </row>
    <row r="18" ht="15.75" customHeight="1">
      <c r="B18" s="3" t="s">
        <v>57</v>
      </c>
      <c r="E18" s="11"/>
      <c r="F18" s="3"/>
    </row>
    <row r="19" ht="15.75" customHeight="1">
      <c r="A19" s="3"/>
      <c r="B19" s="3" t="s">
        <v>58</v>
      </c>
      <c r="E19" s="11"/>
      <c r="F19" s="3"/>
    </row>
    <row r="20" ht="15.75" customHeight="1">
      <c r="A20" s="3" t="s">
        <v>59</v>
      </c>
      <c r="B20" s="3" t="s">
        <v>60</v>
      </c>
      <c r="E20" s="11"/>
      <c r="F20" s="3"/>
    </row>
    <row r="21" ht="15.75" customHeight="1">
      <c r="B21" s="3" t="s">
        <v>61</v>
      </c>
      <c r="E21" s="11"/>
      <c r="F21" s="3"/>
    </row>
    <row r="22" ht="15.75" customHeight="1">
      <c r="B22" s="3" t="s">
        <v>62</v>
      </c>
      <c r="E22" s="11"/>
      <c r="F22" s="3"/>
    </row>
    <row r="23" ht="15.75" customHeight="1">
      <c r="B23" s="3" t="s">
        <v>63</v>
      </c>
      <c r="E23" s="11"/>
      <c r="F23" s="3"/>
    </row>
    <row r="24" ht="15.75" customHeight="1">
      <c r="B24" s="3" t="s">
        <v>64</v>
      </c>
      <c r="E24" s="11"/>
      <c r="F24" s="3"/>
    </row>
    <row r="25" ht="15.75" customHeight="1">
      <c r="A25" s="3"/>
      <c r="B25" s="3" t="s">
        <v>65</v>
      </c>
      <c r="E25" s="11"/>
      <c r="F25" s="3"/>
    </row>
    <row r="26" ht="15.75" customHeight="1">
      <c r="A26" s="3" t="s">
        <v>66</v>
      </c>
      <c r="B26" s="3" t="s">
        <v>67</v>
      </c>
      <c r="E26" s="11"/>
      <c r="F26" s="3"/>
    </row>
    <row r="27" ht="15.75" customHeight="1">
      <c r="B27" s="3" t="s">
        <v>68</v>
      </c>
      <c r="E27" s="11"/>
      <c r="F27" s="3"/>
    </row>
    <row r="28" ht="15.75" customHeight="1">
      <c r="B28" s="3" t="s">
        <v>70</v>
      </c>
      <c r="E28" s="11"/>
      <c r="F28" s="3"/>
    </row>
    <row r="29" ht="15.75" customHeight="1">
      <c r="B29" s="3" t="s">
        <v>71</v>
      </c>
      <c r="E29" s="11"/>
      <c r="F29" s="3"/>
    </row>
    <row r="30" ht="15.75" customHeight="1">
      <c r="A30" s="3"/>
      <c r="B30" s="3" t="s">
        <v>73</v>
      </c>
      <c r="E30" s="11"/>
      <c r="F30" s="3"/>
    </row>
    <row r="31" ht="15.75" customHeight="1">
      <c r="A31" s="3"/>
      <c r="B31" s="3" t="s">
        <v>74</v>
      </c>
      <c r="E31" s="11"/>
      <c r="F31" s="3"/>
    </row>
    <row r="32" ht="15.75" customHeight="1">
      <c r="A32" s="3"/>
      <c r="B32" s="3" t="s">
        <v>75</v>
      </c>
      <c r="E32" s="11"/>
      <c r="F32" s="3"/>
    </row>
    <row r="33" ht="15.75" customHeight="1">
      <c r="A33" s="3" t="s">
        <v>76</v>
      </c>
      <c r="B33" s="3" t="s">
        <v>77</v>
      </c>
      <c r="E33" s="11"/>
      <c r="F33" s="3"/>
    </row>
    <row r="34" ht="15.75" customHeight="1">
      <c r="B34" s="3" t="s">
        <v>78</v>
      </c>
      <c r="E34" s="11"/>
      <c r="F34" s="3"/>
    </row>
    <row r="35" ht="15.75" customHeight="1">
      <c r="A35" s="3" t="s">
        <v>79</v>
      </c>
      <c r="B35" s="3" t="s">
        <v>80</v>
      </c>
      <c r="E35" s="11"/>
      <c r="F35" s="3"/>
    </row>
    <row r="36" ht="15.75" customHeight="1">
      <c r="B36" s="3" t="s">
        <v>81</v>
      </c>
      <c r="E36" s="11"/>
      <c r="F36" s="3"/>
    </row>
    <row r="37" ht="15.75" customHeight="1">
      <c r="B37" s="3" t="s">
        <v>82</v>
      </c>
      <c r="E37" s="11"/>
      <c r="F37" s="3"/>
    </row>
    <row r="38" ht="15.75" customHeight="1">
      <c r="A38" s="11" t="s">
        <v>69</v>
      </c>
      <c r="B38" s="3" t="s">
        <v>83</v>
      </c>
      <c r="C38" s="11"/>
      <c r="E38" s="11"/>
      <c r="F38" s="3"/>
    </row>
    <row r="39" ht="15.75" customHeight="1">
      <c r="A39" s="11"/>
      <c r="B39" s="3" t="s">
        <v>86</v>
      </c>
      <c r="C39" s="11"/>
      <c r="E39" s="11"/>
      <c r="F39" s="3"/>
    </row>
    <row r="40" ht="15.75" customHeight="1">
      <c r="A40" s="11"/>
      <c r="B40" s="3" t="s">
        <v>87</v>
      </c>
      <c r="C40" s="11"/>
      <c r="E40" s="11"/>
      <c r="F40" s="3"/>
    </row>
    <row r="41" ht="15.75" customHeight="1">
      <c r="A41" s="11"/>
      <c r="B41" s="3" t="s">
        <v>88</v>
      </c>
      <c r="C41" s="11"/>
      <c r="E41" s="11"/>
      <c r="F41" s="3"/>
    </row>
    <row r="42" ht="15.75" customHeight="1">
      <c r="A42" s="3" t="s">
        <v>89</v>
      </c>
      <c r="B42" s="3" t="s">
        <v>90</v>
      </c>
      <c r="C42" s="11"/>
      <c r="E42" s="11"/>
      <c r="F42" s="3"/>
    </row>
    <row r="43" ht="15.75" customHeight="1">
      <c r="A43" s="11"/>
      <c r="B43" s="3" t="s">
        <v>92</v>
      </c>
      <c r="C43" s="11"/>
      <c r="E43" s="11"/>
      <c r="F43" s="3"/>
    </row>
    <row r="44" ht="15.75" customHeight="1">
      <c r="A44" s="11"/>
      <c r="B44" s="3" t="s">
        <v>96</v>
      </c>
      <c r="C44" s="11"/>
      <c r="E44" s="11"/>
      <c r="F44" s="3"/>
    </row>
    <row r="45" ht="15.75" customHeight="1">
      <c r="A45" s="11"/>
      <c r="B45" s="3" t="s">
        <v>98</v>
      </c>
      <c r="C45" s="11"/>
      <c r="E45" s="11"/>
    </row>
    <row r="46" ht="15.75" customHeight="1">
      <c r="A46" s="11"/>
      <c r="B46" s="3" t="s">
        <v>99</v>
      </c>
      <c r="C46" s="11"/>
      <c r="E46" s="11"/>
    </row>
    <row r="47" ht="15.75" customHeight="1">
      <c r="A47" s="11"/>
      <c r="B47" s="3" t="s">
        <v>100</v>
      </c>
      <c r="C47" s="11"/>
      <c r="E47" s="11"/>
    </row>
    <row r="48" ht="15.75" customHeight="1">
      <c r="A48" s="11"/>
      <c r="C48" s="11"/>
      <c r="E48" s="11"/>
    </row>
    <row r="49" ht="15.75" customHeight="1">
      <c r="A49" s="11"/>
      <c r="C49" s="11"/>
      <c r="E49" s="11"/>
    </row>
    <row r="50" ht="15.75" customHeight="1">
      <c r="A50" s="11"/>
      <c r="C50" s="11"/>
      <c r="E50" s="11"/>
    </row>
    <row r="51" ht="15.75" customHeight="1">
      <c r="A51" s="11"/>
      <c r="C51" s="11"/>
      <c r="E51" s="11"/>
    </row>
    <row r="52" ht="15.75" customHeight="1">
      <c r="A52" s="11"/>
      <c r="C52" s="11"/>
      <c r="E52" s="11"/>
    </row>
    <row r="53" ht="15.75" customHeight="1">
      <c r="A53" s="11"/>
      <c r="C53" s="11"/>
      <c r="E53" s="11"/>
    </row>
    <row r="54" ht="15.75" customHeight="1">
      <c r="A54" s="11"/>
      <c r="C54" s="11"/>
      <c r="E54" s="11"/>
    </row>
    <row r="55" ht="15.75" customHeight="1">
      <c r="A55" s="11"/>
      <c r="C55" s="11"/>
      <c r="E55" s="11"/>
    </row>
    <row r="56" ht="15.75" customHeight="1">
      <c r="A56" s="11"/>
      <c r="C56" s="11"/>
      <c r="E56" s="11"/>
    </row>
    <row r="57" ht="15.75" customHeight="1">
      <c r="A57" s="11"/>
      <c r="C57" s="11"/>
      <c r="E57" s="11"/>
    </row>
    <row r="58" ht="15.75" customHeight="1">
      <c r="A58" s="11"/>
      <c r="C58" s="11"/>
      <c r="E58" s="11"/>
    </row>
    <row r="59" ht="15.75" customHeight="1">
      <c r="A59" s="11"/>
      <c r="C59" s="11"/>
      <c r="E59" s="11"/>
    </row>
    <row r="60" ht="15.75" customHeight="1">
      <c r="A60" s="11"/>
      <c r="C60" s="11"/>
      <c r="E60" s="11"/>
    </row>
    <row r="61" ht="15.75" customHeight="1">
      <c r="A61" s="11"/>
      <c r="C61" s="11"/>
      <c r="E61" s="11"/>
    </row>
    <row r="62" ht="15.75" customHeight="1">
      <c r="A62" s="11"/>
      <c r="C62" s="11"/>
      <c r="E62" s="11"/>
    </row>
    <row r="63" ht="15.75" customHeight="1">
      <c r="A63" s="11"/>
      <c r="C63" s="11"/>
      <c r="E63" s="11"/>
    </row>
    <row r="64" ht="15.75" customHeight="1">
      <c r="A64" s="11"/>
      <c r="C64" s="11"/>
      <c r="E64" s="11"/>
    </row>
    <row r="65" ht="15.75" customHeight="1">
      <c r="A65" s="11"/>
      <c r="C65" s="11"/>
      <c r="E65" s="11"/>
    </row>
    <row r="66" ht="15.75" customHeight="1">
      <c r="A66" s="11"/>
      <c r="C66" s="11"/>
      <c r="E66" s="11"/>
    </row>
    <row r="67" ht="15.75" customHeight="1">
      <c r="A67" s="11"/>
      <c r="C67" s="11"/>
      <c r="E67" s="11"/>
    </row>
    <row r="68" ht="15.75" customHeight="1">
      <c r="A68" s="11"/>
      <c r="C68" s="11"/>
      <c r="E68" s="11"/>
    </row>
    <row r="69" ht="15.75" customHeight="1">
      <c r="A69" s="11"/>
      <c r="C69" s="11"/>
      <c r="E69" s="11"/>
    </row>
    <row r="70" ht="15.75" customHeight="1">
      <c r="A70" s="11"/>
      <c r="C70" s="11"/>
      <c r="E70" s="11"/>
    </row>
    <row r="71" ht="15.75" customHeight="1">
      <c r="A71" s="11"/>
      <c r="C71" s="11"/>
      <c r="E71" s="11"/>
    </row>
    <row r="72" ht="15.75" customHeight="1">
      <c r="A72" s="11"/>
      <c r="C72" s="11"/>
      <c r="E72" s="11"/>
    </row>
    <row r="73" ht="15.75" customHeight="1">
      <c r="A73" s="11"/>
      <c r="C73" s="11"/>
      <c r="E73" s="11"/>
    </row>
    <row r="74" ht="15.75" customHeight="1">
      <c r="A74" s="11"/>
      <c r="C74" s="11"/>
      <c r="E74" s="11"/>
    </row>
    <row r="75" ht="15.75" customHeight="1">
      <c r="A75" s="11"/>
      <c r="C75" s="11"/>
      <c r="E75" s="11"/>
    </row>
    <row r="76" ht="15.75" customHeight="1">
      <c r="A76" s="11"/>
      <c r="C76" s="11"/>
      <c r="E76" s="11"/>
    </row>
    <row r="77" ht="15.75" customHeight="1">
      <c r="A77" s="11"/>
      <c r="C77" s="11"/>
      <c r="E77" s="11"/>
    </row>
    <row r="78" ht="15.75" customHeight="1">
      <c r="A78" s="11"/>
      <c r="C78" s="11"/>
      <c r="E78" s="11"/>
    </row>
    <row r="79" ht="15.75" customHeight="1">
      <c r="A79" s="11"/>
      <c r="C79" s="11"/>
      <c r="E79" s="11"/>
    </row>
    <row r="80" ht="15.75" customHeight="1">
      <c r="A80" s="11"/>
      <c r="C80" s="11"/>
      <c r="E80" s="11"/>
    </row>
    <row r="81" ht="15.75" customHeight="1">
      <c r="A81" s="11"/>
      <c r="C81" s="11"/>
      <c r="E81" s="11"/>
    </row>
    <row r="82" ht="15.75" customHeight="1">
      <c r="A82" s="11"/>
      <c r="C82" s="11"/>
      <c r="E82" s="11"/>
    </row>
    <row r="83" ht="15.75" customHeight="1">
      <c r="A83" s="11"/>
      <c r="C83" s="11"/>
      <c r="E83" s="11"/>
    </row>
    <row r="84" ht="15.75" customHeight="1">
      <c r="A84" s="11"/>
      <c r="C84" s="11"/>
      <c r="E84" s="11"/>
    </row>
    <row r="85" ht="15.75" customHeight="1">
      <c r="A85" s="11"/>
      <c r="C85" s="11"/>
      <c r="E85" s="11"/>
    </row>
    <row r="86" ht="15.75" customHeight="1">
      <c r="A86" s="11"/>
      <c r="C86" s="11"/>
      <c r="E86" s="11"/>
    </row>
    <row r="87" ht="15.75" customHeight="1">
      <c r="A87" s="11"/>
      <c r="C87" s="11"/>
      <c r="E87" s="11"/>
    </row>
    <row r="88" ht="15.75" customHeight="1">
      <c r="A88" s="11"/>
      <c r="C88" s="11"/>
      <c r="E88" s="11"/>
    </row>
    <row r="89" ht="15.75" customHeight="1">
      <c r="A89" s="11"/>
      <c r="C89" s="11"/>
      <c r="E89" s="11"/>
    </row>
    <row r="90" ht="15.75" customHeight="1">
      <c r="A90" s="11"/>
      <c r="C90" s="11"/>
      <c r="E90" s="11"/>
    </row>
    <row r="91" ht="15.75" customHeight="1">
      <c r="A91" s="11"/>
      <c r="C91" s="11"/>
      <c r="E91" s="11"/>
    </row>
    <row r="92" ht="15.75" customHeight="1">
      <c r="A92" s="11"/>
      <c r="C92" s="11"/>
      <c r="E92" s="11"/>
    </row>
    <row r="93" ht="15.75" customHeight="1">
      <c r="A93" s="11"/>
      <c r="C93" s="11"/>
      <c r="E93" s="11"/>
    </row>
    <row r="94" ht="15.75" customHeight="1">
      <c r="A94" s="11"/>
      <c r="C94" s="11"/>
      <c r="E94" s="11"/>
    </row>
    <row r="95" ht="15.75" customHeight="1">
      <c r="A95" s="11"/>
      <c r="C95" s="11"/>
      <c r="E95" s="11"/>
    </row>
    <row r="96" ht="15.75" customHeight="1">
      <c r="A96" s="11"/>
      <c r="C96" s="11"/>
      <c r="E96" s="11"/>
    </row>
    <row r="97" ht="15.75" customHeight="1">
      <c r="A97" s="11"/>
      <c r="C97" s="11"/>
      <c r="E97" s="11"/>
    </row>
    <row r="98" ht="15.75" customHeight="1">
      <c r="A98" s="11"/>
      <c r="C98" s="11"/>
      <c r="E98" s="11"/>
    </row>
    <row r="99" ht="15.75" customHeight="1">
      <c r="A99" s="11"/>
      <c r="C99" s="11"/>
      <c r="E99" s="11"/>
    </row>
    <row r="100" ht="15.75" customHeight="1">
      <c r="A100" s="11"/>
      <c r="C100" s="11"/>
      <c r="E100" s="11"/>
    </row>
    <row r="101" ht="15.75" customHeight="1">
      <c r="A101" s="11"/>
      <c r="C101" s="11"/>
      <c r="E101" s="11"/>
    </row>
    <row r="102" ht="15.75" customHeight="1">
      <c r="A102" s="11"/>
      <c r="C102" s="11"/>
      <c r="E102" s="11"/>
    </row>
    <row r="103" ht="15.75" customHeight="1">
      <c r="A103" s="11"/>
      <c r="C103" s="11"/>
      <c r="E103" s="11"/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